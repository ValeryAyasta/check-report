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" sheetId="1" r:id="rId5"/>
    <sheet state="visible" name="ASISTENCIA" sheetId="2" r:id="rId6"/>
    <sheet state="visible" name="D2" sheetId="3" r:id="rId7"/>
  </sheets>
  <definedNames/>
  <calcPr/>
</workbook>
</file>

<file path=xl/sharedStrings.xml><?xml version="1.0" encoding="utf-8"?>
<sst xmlns="http://schemas.openxmlformats.org/spreadsheetml/2006/main" count="335" uniqueCount="164">
  <si>
    <t>S1</t>
  </si>
  <si>
    <t>ASISTENCIA CLASES VIRTUALES</t>
  </si>
  <si>
    <t>S2</t>
  </si>
  <si>
    <t>1AoYstZNHHVYHovopoDScSPeXriWKbKp9iByxtjEjal4</t>
  </si>
  <si>
    <t>S3</t>
  </si>
  <si>
    <t>ZOOM Y MEMORIZAR</t>
  </si>
  <si>
    <t>S4</t>
  </si>
  <si>
    <t>Z1</t>
  </si>
  <si>
    <t>M1</t>
  </si>
  <si>
    <t>S5</t>
  </si>
  <si>
    <t>S6</t>
  </si>
  <si>
    <t>Z2</t>
  </si>
  <si>
    <t>M2</t>
  </si>
  <si>
    <t>S7</t>
  </si>
  <si>
    <t>SI</t>
  </si>
  <si>
    <t>Z3</t>
  </si>
  <si>
    <t>M3</t>
  </si>
  <si>
    <t>S8</t>
  </si>
  <si>
    <t>Z4</t>
  </si>
  <si>
    <t>SEMANA 1</t>
  </si>
  <si>
    <t>M4</t>
  </si>
  <si>
    <t>S9</t>
  </si>
  <si>
    <t>SEMANA 2</t>
  </si>
  <si>
    <t>Z5</t>
  </si>
  <si>
    <t>M5</t>
  </si>
  <si>
    <t>SEMANA 3</t>
  </si>
  <si>
    <t>SEMANA 4</t>
  </si>
  <si>
    <t>SEMANA 5</t>
  </si>
  <si>
    <t>DEVOCIONAL</t>
  </si>
  <si>
    <t>SEMANA 6</t>
  </si>
  <si>
    <t>SEMANA 7</t>
  </si>
  <si>
    <t>Z6</t>
  </si>
  <si>
    <t>SEMANA 8</t>
  </si>
  <si>
    <t>M6</t>
  </si>
  <si>
    <t>SEMANA 9</t>
  </si>
  <si>
    <t>JUNIO</t>
  </si>
  <si>
    <t>Zoom</t>
  </si>
  <si>
    <t>Z7</t>
  </si>
  <si>
    <t>M7</t>
  </si>
  <si>
    <t>Memorizar</t>
  </si>
  <si>
    <t>Z8</t>
  </si>
  <si>
    <t>M8</t>
  </si>
  <si>
    <t>JULIO</t>
  </si>
  <si>
    <t>Z9</t>
  </si>
  <si>
    <t>M9</t>
  </si>
  <si>
    <t>T1</t>
  </si>
  <si>
    <t>E1</t>
  </si>
  <si>
    <t>AGOSTO</t>
  </si>
  <si>
    <t>TRABAJO</t>
  </si>
  <si>
    <t>EXAMEN</t>
  </si>
  <si>
    <t>TUTOR</t>
  </si>
  <si>
    <t>NOMBRES</t>
  </si>
  <si>
    <t>DNI</t>
  </si>
  <si>
    <t>OBSERVACIONES</t>
  </si>
  <si>
    <t>Nombre Lider</t>
  </si>
  <si>
    <t>Cell. Lider</t>
  </si>
  <si>
    <t>Es oyente</t>
  </si>
  <si>
    <t>DATOS DE INSCRIPCION</t>
  </si>
  <si>
    <t>Fecha Nac.</t>
  </si>
  <si>
    <t>CLASE 1</t>
  </si>
  <si>
    <t>CLASE 2</t>
  </si>
  <si>
    <t>CLASE 3</t>
  </si>
  <si>
    <t>CLASE 4</t>
  </si>
  <si>
    <t>CLASE 5</t>
  </si>
  <si>
    <t>CLASE 6</t>
  </si>
  <si>
    <t>CLASE 7</t>
  </si>
  <si>
    <t>CLASE 8</t>
  </si>
  <si>
    <t>CLASE 9</t>
  </si>
  <si>
    <t>EQUIPO</t>
  </si>
  <si>
    <t>COTUTOR</t>
  </si>
  <si>
    <t>ORDEN</t>
  </si>
  <si>
    <t>Grupo</t>
  </si>
  <si>
    <t xml:space="preserve"> Alumno</t>
  </si>
  <si>
    <t xml:space="preserve"> DocId</t>
  </si>
  <si>
    <t>Celular</t>
  </si>
  <si>
    <t>A</t>
  </si>
  <si>
    <t>Z</t>
  </si>
  <si>
    <t>M</t>
  </si>
  <si>
    <t>D</t>
  </si>
  <si>
    <t>Daniel Campos</t>
  </si>
  <si>
    <t>913550127</t>
  </si>
  <si>
    <t>01. ALUMNO - NO DESEA CONTINUAR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</si>
  <si>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</si>
  <si>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</si>
  <si>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</si>
  <si>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</si>
  <si>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</si>
  <si>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</si>
  <si>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</si>
  <si>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</si>
  <si>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</si>
  <si>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PROMEDIO</t>
  </si>
  <si>
    <t>RANKING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</si>
  <si>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</si>
  <si>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</si>
  <si>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</si>
  <si>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</si>
  <si>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</si>
  <si>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</si>
  <si>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</si>
  <si>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</si>
  <si>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</si>
  <si>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No responde el alumno ni el lider</t>
  </si>
  <si>
    <t xml:space="preserve">William Bonifacio </t>
  </si>
  <si>
    <t>981070518</t>
  </si>
  <si>
    <t>02. ALUMNO - PROBLEMAS PERSONALES</t>
  </si>
  <si>
    <t xml:space="preserve">Se converso con su lider , dijo que el alumno está apoyando a su esposa enferma </t>
  </si>
  <si>
    <t xml:space="preserve">Edwin Montano </t>
  </si>
  <si>
    <t>989039557</t>
  </si>
  <si>
    <t>03. ALUMNO - PROMETE ENVIAR</t>
  </si>
  <si>
    <t>El trabajo no es del libro, ni un libro cristiano, ni una apreciación de clase.</t>
  </si>
  <si>
    <t>Miriam</t>
  </si>
  <si>
    <t>976312280</t>
  </si>
  <si>
    <t>04. ALUMNO - PROMETE ENVIAR PERO NADA</t>
  </si>
  <si>
    <t>05. ALUMNO - NO SABIA QUE ESTABA MATRICULADO (se informara a Lider)</t>
  </si>
  <si>
    <t>Presentó un .txt hecho con IA</t>
  </si>
  <si>
    <t>Jhon</t>
  </si>
  <si>
    <t>969312062</t>
  </si>
  <si>
    <t>06. ALUMNO - MENOR DE EDAD (se informara lider para apoyo)</t>
  </si>
  <si>
    <t xml:space="preserve">Lucy Guerrero </t>
  </si>
  <si>
    <t>975537169</t>
  </si>
  <si>
    <t>07. CELULAR - APAGADO/MALOGRADO/EQUIVOCADO</t>
  </si>
  <si>
    <t>El trabajo está hecho con IA</t>
  </si>
  <si>
    <t xml:space="preserve">Katerine Salas </t>
  </si>
  <si>
    <t>950198680</t>
  </si>
  <si>
    <t>08. CELULAR - TIMBRA Y NO CONTESTA</t>
  </si>
  <si>
    <t xml:space="preserve">Jaime Zegarra </t>
  </si>
  <si>
    <t>923877478</t>
  </si>
  <si>
    <t>09. CELULAR - WHATSAPP DEJA EN VISTO</t>
  </si>
  <si>
    <t xml:space="preserve">Carlos González </t>
  </si>
  <si>
    <t>997622122</t>
  </si>
  <si>
    <t>10. CELULAR - WHATSAPP SE LE LLAMA Y NO CONTESTA</t>
  </si>
  <si>
    <t>No responde, solo dice "Gracias" y no contesta cuando se le llama</t>
  </si>
  <si>
    <t>11. ESTUDIOS - NO TIENE TIEMPO</t>
  </si>
  <si>
    <t>12. ESTUDIOS - ESTA EN EXAMENES</t>
  </si>
  <si>
    <t xml:space="preserve">Janet López Escobar </t>
  </si>
  <si>
    <t>961852035</t>
  </si>
  <si>
    <t>13. IGLESIA - SE FUE A OTRA SEDE</t>
  </si>
  <si>
    <t>No contesta, deja en visto</t>
  </si>
  <si>
    <t xml:space="preserve">Luz Bravo </t>
  </si>
  <si>
    <t>919526320</t>
  </si>
  <si>
    <t>14. IGLESIA - SE RETIRO</t>
  </si>
  <si>
    <t xml:space="preserve">Juan Vasquez </t>
  </si>
  <si>
    <t>991047608</t>
  </si>
  <si>
    <t>15. IGLESIA - SE FUE A OTRO CURSO</t>
  </si>
  <si>
    <t>Se le envía los audios, pero no responde cuando se le pide las clases</t>
  </si>
  <si>
    <t xml:space="preserve">Jean Franco Vasquez </t>
  </si>
  <si>
    <t>998172190</t>
  </si>
  <si>
    <t>16. LIDER - APOYANDO A SU DISC.</t>
  </si>
  <si>
    <t>17. LIDER - DICE QUE NO LE CONTESTA</t>
  </si>
  <si>
    <t>Está estudiando y trabajando y no tiene tiempo</t>
  </si>
  <si>
    <t>18. LIDER - PROMETE HABLAR CON SU DISC.</t>
  </si>
  <si>
    <t>El trabajo no es del libro, es una monografía sobre la soledad.</t>
  </si>
  <si>
    <t xml:space="preserve">Henry Quiroz </t>
  </si>
  <si>
    <t>959480317</t>
  </si>
  <si>
    <t>19. OYENTE - ESPERANDO RPTA. LIDER</t>
  </si>
  <si>
    <t>20. OYENTE - LIDER NO RESPONDE</t>
  </si>
  <si>
    <t>21. SALUD - ALUMNO ENFERMO</t>
  </si>
  <si>
    <t>22. SALUD - EMBARAZO</t>
  </si>
  <si>
    <t>23. SALUD - FAMILIAR ENFERMO</t>
  </si>
  <si>
    <t>24. SALUD - HOSPITALIZADO/ACCIDENTADO</t>
  </si>
  <si>
    <t>25. SALUD - LUTO</t>
  </si>
  <si>
    <t>26. TRABAJO - NO TIENE TIEMPO</t>
  </si>
  <si>
    <t>27. TRABAJO - PROVINCIA/EXTRANJERO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</si>
</sst>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"/>
    <numFmt numFmtId="166" formatCode="[$-F400]h:mm:ss\ AM/PM"/>
    <numFmt numFmtId="167" formatCode="dd"/>
    <numFmt numFmtId="168" formatCode="0.000"/>
    <numFmt numFmtId="169" formatCode="d/m/yyyy"/>
    <numFmt numFmtId="170" formatCode="dd/mm/yyyy"/>
    <numFmt numFmtId="171" formatCode="dd-mm-yyyy"/>
  </numFmts>
  <fonts count="29">
    <font>
      <sz val="10.0"/>
      <color rgb="FF000000"/>
      <name val="Arial"/>
      <scheme val="minor"/>
    </font>
    <font>
      <sz val="11.0"/>
      <color theme="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b/>
      <sz val="20.0"/>
      <color theme="0"/>
      <name val="Arial"/>
      <scheme val="minor"/>
    </font>
    <font/>
    <font>
      <sz val="10.0"/>
      <color rgb="FFFFFFFF"/>
      <name val="Arial"/>
      <scheme val="minor"/>
    </font>
    <font>
      <b/>
      <sz val="11.0"/>
      <color theme="1"/>
      <name val="Calibri"/>
    </font>
    <font>
      <sz val="11.0"/>
      <color rgb="FFFFFFFF"/>
      <name val="Arial"/>
      <scheme val="minor"/>
    </font>
    <font>
      <sz val="11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sz val="12.0"/>
      <color theme="0"/>
      <name val="Arial"/>
      <scheme val="minor"/>
    </font>
    <font>
      <b/>
      <sz val="11.0"/>
      <color theme="1"/>
      <name val="Cambria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Open Sans"/>
    </font>
    <font>
      <b/>
      <sz val="14.0"/>
      <color theme="0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Calibri"/>
    </font>
    <font>
      <sz val="14.0"/>
      <color theme="0"/>
      <name val="Arial"/>
      <scheme val="minor"/>
    </font>
    <font>
      <sz val="11.0"/>
      <color rgb="FF000000"/>
      <name val="Calibri"/>
    </font>
    <font>
      <color rgb="FFF2F2F2"/>
      <name val="Arial"/>
      <scheme val="minor"/>
    </font>
    <font>
      <sz val="14.0"/>
      <color rgb="FFFFFFFF"/>
      <name val="Calibri"/>
    </font>
    <font>
      <sz val="11.0"/>
      <color rgb="FFFFFFFF"/>
      <name val="Arial"/>
    </font>
    <font>
      <b/>
      <sz val="11.0"/>
      <color theme="1"/>
      <name val="Arial"/>
      <scheme val="minor"/>
    </font>
    <font>
      <b/>
      <sz val="11.0"/>
      <color rgb="FF000000"/>
      <name val="Calibri"/>
    </font>
    <font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theme="8"/>
        <bgColor theme="8"/>
      </patternFill>
    </fill>
    <fill>
      <patternFill patternType="solid">
        <fgColor rgb="FF20124D"/>
        <bgColor rgb="FF20124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rgb="FFC00000"/>
        <bgColor rgb="FFC00000"/>
      </patternFill>
    </fill>
    <fill>
      <patternFill patternType="solid">
        <fgColor rgb="FFFF33CC"/>
        <bgColor rgb="FFFF33CC"/>
      </patternFill>
    </fill>
    <fill>
      <patternFill patternType="solid">
        <fgColor rgb="FFFFFF00"/>
        <bgColor rgb="FFFFFF00"/>
      </patternFill>
    </fill>
  </fills>
  <borders count="82">
    <border/>
    <border>
      <left/>
      <right/>
      <top/>
      <bottom/>
    </border>
    <border>
      <left/>
      <right/>
      <top/>
    </border>
    <border>
      <left/>
      <top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/>
      <top/>
      <bottom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/>
      <top style="medium">
        <color rgb="FF000000"/>
      </top>
      <bottom style="thin">
        <color rgb="FF000000"/>
      </bottom>
    </border>
    <border>
      <left style="dotted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/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tted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bottom style="dotted">
        <color rgb="FF000000"/>
      </bottom>
    </border>
    <border>
      <left style="medium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000000"/>
      </right>
      <bottom style="dotted">
        <color rgb="FF000000"/>
      </bottom>
    </border>
    <border>
      <left style="dotted">
        <color rgb="FF000000"/>
      </left>
      <right style="double">
        <color rgb="FF000000"/>
      </right>
      <top style="thin">
        <color rgb="FF000000"/>
      </top>
      <bottom style="dotted">
        <color rgb="FF000000"/>
      </bottom>
    </border>
    <border>
      <left/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medium">
        <color rgb="FF000000"/>
      </left>
      <top style="dotted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medium">
        <color rgb="FF000000"/>
      </bottom>
    </border>
    <border>
      <left/>
      <right style="dotted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left/>
      <right/>
      <bottom/>
    </border>
    <border>
      <left style="dotted">
        <color rgb="FF000000"/>
      </left>
      <right style="dotted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1" fillId="2" fontId="1" numFmtId="164" xfId="0" applyBorder="1" applyFill="1" applyFont="1" applyNumberFormat="1"/>
    <xf borderId="2" fillId="2" fontId="3" numFmtId="0" xfId="0" applyBorder="1" applyFill="1" applyFont="1"/>
    <xf borderId="2" fillId="2" fontId="1" numFmtId="0" xfId="0" applyAlignment="1" applyBorder="1" applyFill="1" applyFont="1">
      <alignment readingOrder="0"/>
    </xf>
    <xf borderId="3" fillId="2" fontId="3" numFmtId="0" xfId="0" applyBorder="1" applyFill="1" applyFont="1"/>
    <xf borderId="4" fillId="0" fontId="4" numFmtId="0" xfId="0" applyAlignment="1" applyBorder="1" applyFont="1">
      <alignment vertical="bottom"/>
    </xf>
    <xf borderId="5" fillId="3" fontId="5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6" fillId="0" fontId="6" numFmtId="0" xfId="0" applyBorder="1" applyFont="1"/>
    <xf borderId="0" fillId="0" fontId="3" numFmtId="0" xfId="0" applyAlignment="1" applyFont="1">
      <alignment horizontal="left"/>
    </xf>
    <xf borderId="7" fillId="0" fontId="6" numFmtId="0" xfId="0" applyBorder="1" applyFont="1"/>
    <xf borderId="0" fillId="0" fontId="7" numFmtId="0" xfId="0" applyAlignment="1" applyFont="1">
      <alignment horizontal="left" readingOrder="0"/>
    </xf>
    <xf borderId="8" fillId="2" fontId="3" numFmtId="0" xfId="0" applyBorder="1" applyFill="1" applyFont="1"/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center" readingOrder="0"/>
    </xf>
    <xf borderId="9" fillId="3" fontId="5" numFmtId="0" xfId="0" applyAlignment="1" applyBorder="1" applyFill="1" applyFont="1">
      <alignment horizontal="center" shrinkToFit="0" vertical="center" wrapText="1"/>
    </xf>
    <xf borderId="10" fillId="0" fontId="6" numFmtId="0" xfId="0" applyBorder="1" applyFont="1"/>
    <xf borderId="11" fillId="0" fontId="6" numFmtId="0" xfId="0" applyBorder="1" applyFont="1"/>
    <xf borderId="0" fillId="0" fontId="3" numFmtId="165" xfId="0" applyAlignment="1" applyFont="1" applyNumberFormat="1">
      <alignment horizontal="center" vertical="center"/>
    </xf>
    <xf borderId="12" fillId="2" fontId="3" numFmtId="0" xfId="0" applyBorder="1" applyFill="1" applyFont="1"/>
    <xf borderId="0" fillId="2" fontId="1" numFmtId="0" xfId="0" applyAlignment="1" applyFill="1" applyFont="1">
      <alignment readingOrder="0"/>
    </xf>
    <xf borderId="0" fillId="0" fontId="8" numFmtId="0" xfId="0" applyAlignment="1" applyFont="1">
      <alignment shrinkToFit="0" vertical="bottom" wrapText="0"/>
    </xf>
    <xf borderId="13" fillId="2" fontId="3" numFmtId="0" xfId="0" applyBorder="1" applyFill="1" applyFont="1"/>
    <xf borderId="14" fillId="4" fontId="9" numFmtId="0" xfId="0" applyAlignment="1" applyBorder="1" applyFill="1" applyFont="1">
      <alignment horizontal="center" readingOrder="0" textRotation="90" vertical="center"/>
    </xf>
    <xf borderId="15" fillId="2" fontId="10" numFmtId="0" xfId="0" applyAlignment="1" applyBorder="1" applyFill="1" applyFont="1">
      <alignment horizontal="center" readingOrder="0" textRotation="90" vertical="center"/>
    </xf>
    <xf borderId="15" fillId="4" fontId="9" numFmtId="0" xfId="0" applyAlignment="1" applyBorder="1" applyFill="1" applyFont="1">
      <alignment horizontal="center" readingOrder="0" textRotation="90" vertical="center"/>
    </xf>
    <xf borderId="1" fillId="2" fontId="3" numFmtId="0" xfId="0" applyAlignment="1" applyBorder="1" applyFill="1" applyFont="1">
      <alignment horizontal="center" vertical="center"/>
    </xf>
    <xf borderId="5" fillId="3" fontId="5" numFmtId="0" xfId="0" applyAlignment="1" applyBorder="1" applyFill="1" applyFont="1">
      <alignment horizontal="center" vertical="center"/>
    </xf>
    <xf borderId="16" fillId="4" fontId="9" numFmtId="0" xfId="0" applyAlignment="1" applyBorder="1" applyFill="1" applyFont="1">
      <alignment horizontal="center" readingOrder="0" textRotation="90" vertical="center"/>
    </xf>
    <xf borderId="9" fillId="5" fontId="11" numFmtId="0" xfId="0" applyAlignment="1" applyBorder="1" applyFill="1" applyFont="1">
      <alignment horizontal="center" vertical="bottom"/>
    </xf>
    <xf borderId="17" fillId="4" fontId="1" numFmtId="0" xfId="0" applyAlignment="1" applyBorder="1" applyFill="1" applyFont="1">
      <alignment horizontal="center" textRotation="90" vertical="center"/>
    </xf>
    <xf borderId="18" fillId="2" fontId="3" numFmtId="0" xfId="0" applyAlignment="1" applyBorder="1" applyFill="1" applyFont="1">
      <alignment textRotation="90"/>
    </xf>
    <xf borderId="19" fillId="2" fontId="3" numFmtId="0" xfId="0" applyAlignment="1" applyBorder="1" applyFill="1" applyFont="1">
      <alignment textRotation="90"/>
    </xf>
    <xf borderId="20" fillId="4" fontId="1" numFmtId="0" xfId="0" applyAlignment="1" applyBorder="1" applyFill="1" applyFont="1">
      <alignment horizontal="center" textRotation="90" vertical="center"/>
    </xf>
    <xf borderId="0" fillId="0" fontId="2" numFmtId="0" xfId="0" applyAlignment="1" applyFont="1">
      <alignment horizontal="center" readingOrder="0"/>
    </xf>
    <xf borderId="21" fillId="2" fontId="3" numFmtId="0" xfId="0" applyAlignment="1" applyBorder="1" applyFill="1" applyFont="1">
      <alignment textRotation="90"/>
    </xf>
    <xf borderId="0" fillId="0" fontId="12" numFmtId="2" xfId="0" applyAlignment="1" applyFont="1" applyNumberFormat="1">
      <alignment horizontal="center" vertical="bottom"/>
    </xf>
    <xf borderId="22" fillId="4" fontId="9" numFmtId="0" xfId="0" applyAlignment="1" applyBorder="1" applyFill="1" applyFont="1">
      <alignment horizontal="center" readingOrder="0" textRotation="90" vertical="center"/>
    </xf>
    <xf borderId="23" fillId="0" fontId="6" numFmtId="0" xfId="0" applyBorder="1" applyFont="1"/>
    <xf borderId="4" fillId="0" fontId="6" numFmtId="0" xfId="0" applyBorder="1" applyFont="1"/>
    <xf borderId="24" fillId="0" fontId="6" numFmtId="0" xfId="0" applyBorder="1" applyFont="1"/>
    <xf borderId="25" fillId="2" fontId="3" numFmtId="0" xfId="0" applyAlignment="1" applyBorder="1" applyFill="1" applyFont="1">
      <alignment horizontal="center" vertical="center"/>
    </xf>
    <xf borderId="23" fillId="6" fontId="13" numFmtId="0" xfId="0" applyAlignment="1" applyBorder="1" applyFill="1" applyFont="1">
      <alignment horizontal="center" vertical="center"/>
    </xf>
    <xf borderId="26" fillId="2" fontId="14" numFmtId="0" xfId="0" applyAlignment="1" applyBorder="1" applyFill="1" applyFont="1">
      <alignment horizontal="center" readingOrder="0" vertical="center"/>
    </xf>
    <xf borderId="27" fillId="0" fontId="12" numFmtId="2" xfId="0" applyAlignment="1" applyBorder="1" applyFont="1" applyNumberFormat="1">
      <alignment horizontal="center" vertical="bottom"/>
    </xf>
    <xf borderId="28" fillId="0" fontId="6" numFmtId="0" xfId="0" applyBorder="1" applyFont="1"/>
    <xf borderId="29" fillId="2" fontId="14" numFmtId="0" xfId="0" applyAlignment="1" applyBorder="1" applyFill="1" applyFont="1">
      <alignment horizontal="center" readingOrder="0"/>
    </xf>
    <xf borderId="30" fillId="6" fontId="15" numFmtId="166" xfId="0" applyAlignment="1" applyBorder="1" applyFill="1" applyFont="1" applyNumberFormat="1">
      <alignment horizontal="center"/>
    </xf>
    <xf borderId="31" fillId="6" fontId="13" numFmtId="0" xfId="0" applyAlignment="1" applyBorder="1" applyFill="1" applyFont="1">
      <alignment horizontal="center" vertical="center"/>
    </xf>
    <xf borderId="32" fillId="6" fontId="15" numFmtId="166" xfId="0" applyAlignment="1" applyBorder="1" applyFill="1" applyFont="1" applyNumberFormat="1">
      <alignment horizontal="center"/>
    </xf>
    <xf borderId="27" fillId="0" fontId="4" numFmtId="2" xfId="0" applyAlignment="1" applyBorder="1" applyFont="1" applyNumberFormat="1">
      <alignment vertical="bottom"/>
    </xf>
    <xf borderId="33" fillId="6" fontId="15" numFmtId="166" xfId="0" applyAlignment="1" applyBorder="1" applyFill="1" applyFont="1" applyNumberFormat="1">
      <alignment horizontal="center"/>
    </xf>
    <xf borderId="0" fillId="0" fontId="4" numFmtId="0" xfId="0" applyAlignment="1" applyFont="1">
      <alignment vertical="bottom"/>
    </xf>
    <xf borderId="34" fillId="6" fontId="16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 vertical="bottom"/>
    </xf>
    <xf borderId="35" fillId="6" fontId="16" numFmtId="0" xfId="0" applyAlignment="1" applyBorder="1" applyFill="1" applyFont="1">
      <alignment horizontal="center" readingOrder="0"/>
    </xf>
    <xf borderId="0" fillId="0" fontId="12" numFmtId="9" xfId="0" applyAlignment="1" applyFont="1" applyNumberFormat="1">
      <alignment horizontal="center" vertical="bottom"/>
    </xf>
    <xf borderId="32" fillId="6" fontId="16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vertical="center"/>
    </xf>
    <xf borderId="9" fillId="0" fontId="17" numFmtId="0" xfId="0" applyAlignment="1" applyBorder="1" applyFont="1">
      <alignment horizontal="center" vertical="center"/>
    </xf>
    <xf borderId="36" fillId="6" fontId="16" numFmtId="0" xfId="0" applyAlignment="1" applyBorder="1" applyFill="1" applyFont="1">
      <alignment horizontal="center" readingOrder="0"/>
    </xf>
    <xf borderId="19" fillId="2" fontId="14" numFmtId="164" xfId="0" applyAlignment="1" applyBorder="1" applyFill="1" applyFont="1" applyNumberFormat="1">
      <alignment horizontal="center" readingOrder="0"/>
    </xf>
    <xf borderId="37" fillId="6" fontId="16" numFmtId="0" xfId="0" applyAlignment="1" applyBorder="1" applyFill="1" applyFont="1">
      <alignment horizontal="center" readingOrder="0"/>
    </xf>
    <xf borderId="20" fillId="2" fontId="3" numFmtId="167" xfId="0" applyAlignment="1" applyBorder="1" applyFill="1" applyFont="1" applyNumberFormat="1">
      <alignment horizontal="center" readingOrder="0" vertical="center"/>
    </xf>
    <xf borderId="30" fillId="5" fontId="18" numFmtId="0" xfId="0" applyAlignment="1" applyBorder="1" applyFill="1" applyFont="1">
      <alignment horizontal="center" vertical="center"/>
    </xf>
    <xf borderId="22" fillId="6" fontId="16" numFmtId="0" xfId="0" applyAlignment="1" applyBorder="1" applyFill="1" applyFont="1">
      <alignment horizontal="center" readingOrder="0"/>
    </xf>
    <xf borderId="32" fillId="0" fontId="6" numFmtId="0" xfId="0" applyBorder="1" applyFont="1"/>
    <xf borderId="38" fillId="6" fontId="16" numFmtId="49" xfId="0" applyAlignment="1" applyBorder="1" applyFill="1" applyFont="1" applyNumberFormat="1">
      <alignment horizontal="center" readingOrder="0"/>
    </xf>
    <xf borderId="33" fillId="0" fontId="6" numFmtId="0" xfId="0" applyBorder="1" applyFont="1"/>
    <xf borderId="26" fillId="2" fontId="3" numFmtId="167" xfId="0" applyAlignment="1" applyBorder="1" applyFill="1" applyFont="1" applyNumberFormat="1">
      <alignment horizontal="center" vertical="center"/>
    </xf>
    <xf borderId="39" fillId="6" fontId="11" numFmtId="49" xfId="0" applyAlignment="1" applyBorder="1" applyFill="1" applyFont="1" applyNumberFormat="1">
      <alignment horizontal="center" vertical="bottom"/>
    </xf>
    <xf borderId="30" fillId="7" fontId="18" numFmtId="0" xfId="0" applyAlignment="1" applyBorder="1" applyFill="1" applyFont="1">
      <alignment horizontal="center" vertical="center"/>
    </xf>
    <xf borderId="40" fillId="6" fontId="11" numFmtId="49" xfId="0" applyAlignment="1" applyBorder="1" applyFill="1" applyFont="1" applyNumberFormat="1">
      <alignment horizontal="center" vertical="bottom"/>
    </xf>
    <xf borderId="19" fillId="2" fontId="3" numFmtId="167" xfId="0" applyAlignment="1" applyBorder="1" applyFill="1" applyFont="1" applyNumberFormat="1">
      <alignment horizontal="center" vertical="center"/>
    </xf>
    <xf borderId="20" fillId="2" fontId="3" numFmtId="167" xfId="0" applyAlignment="1" applyBorder="1" applyFill="1" applyFont="1" applyNumberFormat="1">
      <alignment horizontal="center" vertical="center"/>
    </xf>
    <xf borderId="41" fillId="2" fontId="3" numFmtId="0" xfId="0" applyBorder="1" applyFill="1" applyFont="1"/>
    <xf borderId="42" fillId="2" fontId="3" numFmtId="0" xfId="0" applyBorder="1" applyFill="1" applyFont="1"/>
    <xf borderId="43" fillId="2" fontId="3" numFmtId="0" xfId="0" applyBorder="1" applyFill="1" applyFont="1"/>
    <xf borderId="44" fillId="8" fontId="19" numFmtId="0" xfId="0" applyAlignment="1" applyBorder="1" applyFill="1" applyFont="1">
      <alignment horizontal="center" readingOrder="0" shrinkToFit="0" textRotation="90" vertical="center" wrapText="1"/>
    </xf>
    <xf borderId="45" fillId="2" fontId="3" numFmtId="0" xfId="0" applyAlignment="1" applyBorder="1" applyFill="1" applyFont="1">
      <alignment horizontal="center"/>
    </xf>
    <xf borderId="0" fillId="0" fontId="4" numFmtId="2" xfId="0" applyAlignment="1" applyFont="1" applyNumberFormat="1">
      <alignment vertical="bottom"/>
    </xf>
    <xf borderId="46" fillId="2" fontId="3" numFmtId="0" xfId="0" applyAlignment="1" applyBorder="1" applyFill="1" applyFont="1">
      <alignment horizontal="center" readingOrder="0" vertical="center"/>
    </xf>
    <xf borderId="47" fillId="2" fontId="3" numFmtId="0" xfId="0" applyAlignment="1" applyBorder="1" applyFill="1" applyFont="1">
      <alignment horizontal="center" readingOrder="0" vertical="center"/>
    </xf>
    <xf borderId="48" fillId="2" fontId="3" numFmtId="0" xfId="0" applyAlignment="1" applyBorder="1" applyFill="1" applyFont="1">
      <alignment horizontal="center" readingOrder="0" vertical="center"/>
    </xf>
    <xf borderId="27" fillId="0" fontId="4" numFmtId="0" xfId="0" applyAlignment="1" applyBorder="1" applyFont="1">
      <alignment vertical="bottom"/>
    </xf>
    <xf borderId="49" fillId="2" fontId="3" numFmtId="0" xfId="0" applyAlignment="1" applyBorder="1" applyFill="1" applyFont="1">
      <alignment horizontal="center" readingOrder="0" vertical="center"/>
    </xf>
    <xf borderId="50" fillId="2" fontId="3" numFmtId="0" xfId="0" applyAlignment="1" applyBorder="1" applyFill="1" applyFont="1">
      <alignment horizontal="center" readingOrder="0" vertical="center"/>
    </xf>
    <xf borderId="51" fillId="9" fontId="20" numFmtId="0" xfId="0" applyAlignment="1" applyBorder="1" applyFill="1" applyFont="1">
      <alignment horizontal="center" shrinkToFit="0" vertical="center" wrapText="1"/>
    </xf>
    <xf borderId="51" fillId="9" fontId="20" numFmtId="0" xfId="0" applyAlignment="1" applyBorder="1" applyFill="1" applyFont="1">
      <alignment horizontal="center" readingOrder="0" shrinkToFit="0" vertical="center" wrapText="1"/>
    </xf>
    <xf borderId="52" fillId="2" fontId="3" numFmtId="0" xfId="0" applyAlignment="1" applyBorder="1" applyFill="1" applyFont="1">
      <alignment horizontal="center" readingOrder="0" vertical="center"/>
    </xf>
    <xf borderId="53" fillId="2" fontId="3" numFmtId="0" xfId="0" applyAlignment="1" applyBorder="1" applyFill="1" applyFont="1">
      <alignment horizontal="center" readingOrder="0" vertical="center"/>
    </xf>
    <xf borderId="51" fillId="9" fontId="20" numFmtId="0" xfId="0" applyAlignment="1" applyBorder="1" applyFill="1" applyFont="1">
      <alignment horizontal="center" vertical="center"/>
    </xf>
    <xf borderId="54" fillId="2" fontId="3" numFmtId="0" xfId="0" applyAlignment="1" applyBorder="1" applyFill="1" applyFont="1">
      <alignment horizontal="center" readingOrder="0" vertical="center"/>
    </xf>
    <xf borderId="53" fillId="2" fontId="3" numFmtId="0" xfId="0" applyAlignment="1" applyBorder="1" applyFill="1" applyFont="1">
      <alignment horizontal="left" readingOrder="0"/>
    </xf>
    <xf borderId="51" fillId="9" fontId="20" numFmtId="164" xfId="0" applyAlignment="1" applyBorder="1" applyFill="1" applyFont="1" applyNumberFormat="1">
      <alignment horizontal="center" readingOrder="0" shrinkToFit="0" vertical="center" wrapText="1"/>
    </xf>
    <xf borderId="27" fillId="5" fontId="21" numFmtId="0" xfId="0" applyAlignment="1" applyBorder="1" applyFill="1" applyFont="1">
      <alignment horizontal="center" vertical="center"/>
    </xf>
    <xf borderId="27" fillId="7" fontId="21" numFmtId="0" xfId="0" applyAlignment="1" applyBorder="1" applyFill="1" applyFont="1">
      <alignment horizontal="center" vertical="center"/>
    </xf>
    <xf borderId="55" fillId="2" fontId="3" numFmtId="0" xfId="0" applyAlignment="1" applyBorder="1" applyFill="1" applyFont="1">
      <alignment horizontal="left" readingOrder="0"/>
    </xf>
    <xf borderId="46" fillId="10" fontId="3" numFmtId="49" xfId="0" applyAlignment="1" applyBorder="1" applyFill="1" applyFont="1" applyNumberFormat="1">
      <alignment horizontal="center" readingOrder="0" vertical="center"/>
    </xf>
    <xf borderId="52" fillId="10" fontId="3" numFmtId="49" xfId="0" applyAlignment="1" applyBorder="1" applyFill="1" applyFont="1" applyNumberFormat="1">
      <alignment horizontal="center" readingOrder="0" vertical="center"/>
    </xf>
    <xf borderId="0" fillId="0" fontId="22" numFmtId="0" xfId="0" applyAlignment="1" applyFont="1">
      <alignment readingOrder="0" shrinkToFit="0" vertical="bottom" wrapText="0"/>
    </xf>
    <xf borderId="51" fillId="0" fontId="6" numFmtId="0" xfId="0" applyBorder="1" applyFont="1"/>
    <xf borderId="0" fillId="0" fontId="23" numFmtId="0" xfId="0" applyAlignment="1" applyFont="1">
      <alignment horizontal="center" readingOrder="0"/>
    </xf>
    <xf borderId="27" fillId="11" fontId="24" numFmtId="2" xfId="0" applyAlignment="1" applyBorder="1" applyFill="1" applyFont="1" applyNumberFormat="1">
      <alignment horizontal="center" readingOrder="0" vertical="bottom"/>
    </xf>
    <xf borderId="56" fillId="2" fontId="3" numFmtId="0" xfId="0" applyBorder="1" applyFill="1" applyFont="1"/>
    <xf borderId="27" fillId="11" fontId="24" numFmtId="168" xfId="0" applyAlignment="1" applyBorder="1" applyFill="1" applyFont="1" applyNumberFormat="1">
      <alignment horizontal="center" vertical="bottom"/>
    </xf>
    <xf borderId="43" fillId="2" fontId="3" numFmtId="0" xfId="0" applyAlignment="1" applyBorder="1" applyFill="1" applyFont="1">
      <alignment horizontal="left"/>
    </xf>
    <xf borderId="27" fillId="11" fontId="24" numFmtId="0" xfId="0" applyAlignment="1" applyBorder="1" applyFill="1" applyFont="1">
      <alignment horizontal="center" vertical="bottom"/>
    </xf>
    <xf borderId="27" fillId="5" fontId="24" numFmtId="2" xfId="0" applyAlignment="1" applyBorder="1" applyFill="1" applyFont="1" applyNumberFormat="1">
      <alignment horizontal="center" readingOrder="0" vertical="bottom"/>
    </xf>
    <xf borderId="57" fillId="12" fontId="3" numFmtId="164" xfId="0" applyAlignment="1" applyBorder="1" applyFill="1" applyFont="1" applyNumberFormat="1">
      <alignment horizontal="center" readingOrder="0"/>
    </xf>
    <xf borderId="58" fillId="2" fontId="3" numFmtId="0" xfId="0" applyAlignment="1" applyBorder="1" applyFill="1" applyFont="1">
      <alignment horizontal="center"/>
    </xf>
    <xf borderId="56" fillId="2" fontId="3" numFmtId="0" xfId="0" applyAlignment="1" applyBorder="1" applyFill="1" applyFont="1">
      <alignment horizontal="center" readingOrder="0" vertical="center"/>
    </xf>
    <xf borderId="59" fillId="2" fontId="3" numFmtId="0" xfId="0" applyAlignment="1" applyBorder="1" applyFill="1" applyFont="1">
      <alignment horizontal="center" readingOrder="0" vertical="center"/>
    </xf>
    <xf borderId="43" fillId="2" fontId="3" numFmtId="0" xfId="0" applyAlignment="1" applyBorder="1" applyFill="1" applyFont="1">
      <alignment horizontal="center" readingOrder="0" vertical="center"/>
    </xf>
    <xf borderId="60" fillId="2" fontId="3" numFmtId="0" xfId="0" applyAlignment="1" applyBorder="1" applyFill="1" applyFont="1">
      <alignment horizontal="center" readingOrder="0" vertical="center"/>
    </xf>
    <xf borderId="61" fillId="2" fontId="3" numFmtId="0" xfId="0" applyAlignment="1" applyBorder="1" applyFill="1" applyFont="1">
      <alignment horizontal="center" readingOrder="0" vertical="center"/>
    </xf>
    <xf borderId="57" fillId="2" fontId="3" numFmtId="0" xfId="0" applyAlignment="1" applyBorder="1" applyFill="1" applyFont="1">
      <alignment horizontal="center" readingOrder="0" vertical="center"/>
    </xf>
    <xf borderId="27" fillId="0" fontId="4" numFmtId="0" xfId="0" applyAlignment="1" applyBorder="1" applyFont="1">
      <alignment readingOrder="0" vertical="bottom"/>
    </xf>
    <xf borderId="62" fillId="2" fontId="3" numFmtId="0" xfId="0" applyAlignment="1" applyBorder="1" applyFill="1" applyFont="1">
      <alignment horizontal="center" readingOrder="0" vertical="center"/>
    </xf>
    <xf borderId="63" fillId="2" fontId="3" numFmtId="0" xfId="0" applyAlignment="1" applyBorder="1" applyFill="1" applyFont="1">
      <alignment horizontal="center" readingOrder="0" vertical="center"/>
    </xf>
    <xf borderId="27" fillId="2" fontId="3" numFmtId="0" xfId="0" applyAlignment="1" applyBorder="1" applyFill="1" applyFont="1">
      <alignment vertical="center"/>
    </xf>
    <xf borderId="64" fillId="2" fontId="3" numFmtId="49" xfId="0" applyAlignment="1" applyBorder="1" applyFill="1" applyFont="1" applyNumberFormat="1">
      <alignment horizontal="center" readingOrder="0" vertical="center"/>
    </xf>
    <xf borderId="56" fillId="10" fontId="3" numFmtId="49" xfId="0" applyAlignment="1" applyBorder="1" applyFill="1" applyFont="1" applyNumberFormat="1">
      <alignment horizontal="center" readingOrder="0" vertical="center"/>
    </xf>
    <xf borderId="61" fillId="10" fontId="3" numFmtId="49" xfId="0" applyAlignment="1" applyBorder="1" applyFill="1" applyFont="1" applyNumberFormat="1">
      <alignment horizontal="center" readingOrder="0" vertical="center"/>
    </xf>
    <xf borderId="27" fillId="0" fontId="3" numFmtId="0" xfId="0" applyAlignment="1" applyBorder="1" applyFont="1">
      <alignment vertical="center"/>
    </xf>
    <xf borderId="27" fillId="0" fontId="3" numFmtId="0" xfId="0" applyAlignment="1" applyBorder="1" applyFont="1">
      <alignment horizontal="left" vertical="center"/>
    </xf>
    <xf borderId="27" fillId="0" fontId="3" numFmtId="164" xfId="0" applyAlignment="1" applyBorder="1" applyFont="1" applyNumberFormat="1">
      <alignment horizontal="center" vertical="center"/>
    </xf>
    <xf borderId="57" fillId="12" fontId="3" numFmtId="169" xfId="0" applyAlignment="1" applyBorder="1" applyFill="1" applyFont="1" applyNumberFormat="1">
      <alignment horizontal="center" readingOrder="0"/>
    </xf>
    <xf borderId="27" fillId="0" fontId="25" numFmtId="0" xfId="0" applyAlignment="1" applyBorder="1" applyFont="1">
      <alignment horizontal="center"/>
    </xf>
    <xf borderId="63" fillId="2" fontId="3" numFmtId="0" xfId="0" applyAlignment="1" applyBorder="1" applyFill="1" applyFont="1">
      <alignment horizontal="center" vertical="center"/>
    </xf>
    <xf borderId="43" fillId="2" fontId="3" numFmtId="0" xfId="0" applyAlignment="1" applyBorder="1" applyFill="1" applyFont="1">
      <alignment readingOrder="0"/>
    </xf>
    <xf borderId="60" fillId="2" fontId="3" numFmtId="0" xfId="0" applyAlignment="1" applyBorder="1" applyFill="1" applyFont="1">
      <alignment horizontal="center" readingOrder="0" vertical="center"/>
    </xf>
    <xf borderId="60" fillId="2" fontId="3" numFmtId="0" xfId="0" applyAlignment="1" applyBorder="1" applyFill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62" fillId="2" fontId="3" numFmtId="0" xfId="0" applyAlignment="1" applyBorder="1" applyFill="1" applyFont="1">
      <alignment horizontal="center" vertical="center"/>
    </xf>
    <xf borderId="57" fillId="12" fontId="3" numFmtId="170" xfId="0" applyAlignment="1" applyBorder="1" applyFill="1" applyFont="1" applyNumberFormat="1">
      <alignment horizontal="center" readingOrder="0"/>
    </xf>
    <xf borderId="57" fillId="2" fontId="26" numFmtId="0" xfId="0" applyAlignment="1" applyBorder="1" applyFill="1" applyFont="1">
      <alignment horizontal="center" readingOrder="0" vertical="center"/>
    </xf>
    <xf borderId="56" fillId="13" fontId="3" numFmtId="0" xfId="0" applyAlignment="1" applyBorder="1" applyFill="1" applyFont="1">
      <alignment horizontal="center" readingOrder="0" vertical="center"/>
    </xf>
    <xf borderId="57" fillId="12" fontId="3" numFmtId="171" xfId="0" applyAlignment="1" applyBorder="1" applyFill="1" applyFont="1" applyNumberFormat="1">
      <alignment horizontal="center" readingOrder="0"/>
    </xf>
    <xf borderId="43" fillId="2" fontId="3" numFmtId="0" xfId="0" applyAlignment="1" applyBorder="1" applyFill="1" applyFont="1">
      <alignment horizontal="left" readingOrder="0"/>
    </xf>
    <xf borderId="8" fillId="2" fontId="3" numFmtId="0" xfId="0" applyAlignment="1" applyBorder="1" applyFill="1" applyFont="1">
      <alignment readingOrder="0"/>
    </xf>
    <xf borderId="64" fillId="10" fontId="3" numFmtId="49" xfId="0" applyAlignment="1" applyBorder="1" applyFill="1" applyFont="1" applyNumberFormat="1">
      <alignment horizontal="center" readingOrder="0" vertical="center"/>
    </xf>
    <xf borderId="60" fillId="2" fontId="3" numFmtId="0" xfId="0" applyBorder="1" applyFill="1" applyFont="1"/>
    <xf borderId="65" fillId="2" fontId="3" numFmtId="0" xfId="0" applyAlignment="1" applyBorder="1" applyFill="1" applyFont="1">
      <alignment horizontal="center"/>
    </xf>
    <xf borderId="66" fillId="2" fontId="3" numFmtId="0" xfId="0" applyAlignment="1" applyBorder="1" applyFill="1" applyFont="1">
      <alignment horizontal="center" readingOrder="0" vertical="center"/>
    </xf>
    <xf borderId="67" fillId="2" fontId="3" numFmtId="0" xfId="0" applyAlignment="1" applyBorder="1" applyFill="1" applyFont="1">
      <alignment horizontal="center" readingOrder="0" vertical="center"/>
    </xf>
    <xf borderId="27" fillId="0" fontId="22" numFmtId="2" xfId="0" applyAlignment="1" applyBorder="1" applyFont="1" applyNumberFormat="1">
      <alignment horizontal="center" vertical="bottom"/>
    </xf>
    <xf borderId="33" fillId="0" fontId="22" numFmtId="2" xfId="0" applyAlignment="1" applyBorder="1" applyFont="1" applyNumberFormat="1">
      <alignment horizontal="center" vertical="bottom"/>
    </xf>
    <xf borderId="64" fillId="2" fontId="3" numFmtId="49" xfId="0" applyAlignment="1" applyBorder="1" applyFill="1" applyFont="1" applyNumberFormat="1">
      <alignment horizontal="center" vertical="center"/>
    </xf>
    <xf borderId="27" fillId="0" fontId="27" numFmtId="168" xfId="0" applyAlignment="1" applyBorder="1" applyFont="1" applyNumberFormat="1">
      <alignment horizontal="center" vertical="bottom"/>
    </xf>
    <xf borderId="27" fillId="2" fontId="27" numFmtId="0" xfId="0" applyAlignment="1" applyBorder="1" applyFill="1" applyFont="1">
      <alignment horizontal="center" vertical="bottom"/>
    </xf>
    <xf borderId="59" fillId="2" fontId="3" numFmtId="0" xfId="0" applyAlignment="1" applyBorder="1" applyFill="1" applyFont="1">
      <alignment horizontal="center" vertical="center"/>
    </xf>
    <xf borderId="27" fillId="2" fontId="27" numFmtId="2" xfId="0" applyAlignment="1" applyBorder="1" applyFill="1" applyFont="1" applyNumberFormat="1">
      <alignment horizontal="center" vertical="bottom"/>
    </xf>
    <xf borderId="68" fillId="2" fontId="3" numFmtId="49" xfId="0" applyAlignment="1" applyBorder="1" applyFill="1" applyFont="1" applyNumberFormat="1">
      <alignment horizontal="center" vertical="center"/>
    </xf>
    <xf borderId="33" fillId="2" fontId="27" numFmtId="2" xfId="0" applyAlignment="1" applyBorder="1" applyFill="1" applyFont="1" applyNumberFormat="1">
      <alignment horizontal="center" vertical="bottom"/>
    </xf>
    <xf borderId="67" fillId="2" fontId="3" numFmtId="49" xfId="0" applyAlignment="1" applyBorder="1" applyFill="1" applyFont="1" applyNumberFormat="1">
      <alignment horizontal="center" readingOrder="0" vertical="center"/>
    </xf>
    <xf borderId="66" fillId="2" fontId="3" numFmtId="49" xfId="0" applyAlignment="1" applyBorder="1" applyFill="1" applyFont="1" applyNumberFormat="1">
      <alignment horizontal="center" readingOrder="0" vertical="center"/>
    </xf>
    <xf borderId="62" fillId="2" fontId="3" numFmtId="0" xfId="0" applyAlignment="1" applyBorder="1" applyFill="1" applyFont="1">
      <alignment horizontal="center" readingOrder="0" vertical="center"/>
    </xf>
    <xf borderId="67" fillId="2" fontId="3" numFmtId="49" xfId="0" applyAlignment="1" applyBorder="1" applyFill="1" applyFont="1" applyNumberFormat="1">
      <alignment horizontal="center" vertical="center"/>
    </xf>
    <xf borderId="69" fillId="0" fontId="28" numFmtId="0" xfId="0" applyAlignment="1" applyBorder="1" applyFont="1">
      <alignment vertical="bottom"/>
    </xf>
    <xf borderId="33" fillId="0" fontId="28" numFmtId="49" xfId="0" applyAlignment="1" applyBorder="1" applyFont="1" applyNumberFormat="1">
      <alignment vertical="bottom"/>
    </xf>
    <xf borderId="32" fillId="0" fontId="28" numFmtId="49" xfId="0" applyAlignment="1" applyBorder="1" applyFont="1" applyNumberFormat="1">
      <alignment shrinkToFit="0" vertical="bottom" wrapText="0"/>
    </xf>
    <xf borderId="70" fillId="0" fontId="4" numFmtId="0" xfId="0" applyAlignment="1" applyBorder="1" applyFont="1">
      <alignment vertical="bottom"/>
    </xf>
    <xf borderId="33" fillId="0" fontId="4" numFmtId="2" xfId="0" applyAlignment="1" applyBorder="1" applyFont="1" applyNumberFormat="1">
      <alignment horizontal="right" vertical="bottom"/>
    </xf>
    <xf borderId="33" fillId="14" fontId="20" numFmtId="0" xfId="0" applyAlignment="1" applyBorder="1" applyFill="1" applyFont="1">
      <alignment horizontal="center" vertical="bottom"/>
    </xf>
    <xf borderId="62" fillId="2" fontId="3" numFmtId="0" xfId="0" applyAlignment="1" applyBorder="1" applyFill="1" applyFont="1">
      <alignment horizontal="center" vertical="center"/>
    </xf>
    <xf borderId="59" fillId="2" fontId="3" numFmtId="0" xfId="0" applyAlignment="1" applyBorder="1" applyFill="1" applyFont="1">
      <alignment horizontal="center" readingOrder="0" vertical="center"/>
    </xf>
    <xf borderId="59" fillId="2" fontId="3" numFmtId="0" xfId="0" applyAlignment="1" applyBorder="1" applyFill="1" applyFont="1">
      <alignment horizontal="center" vertical="center"/>
    </xf>
    <xf borderId="60" fillId="2" fontId="3" numFmtId="0" xfId="0" applyAlignment="1" applyBorder="1" applyFill="1" applyFont="1">
      <alignment horizontal="center" vertical="center"/>
    </xf>
    <xf borderId="67" fillId="2" fontId="3" numFmtId="0" xfId="0" applyAlignment="1" applyBorder="1" applyFill="1" applyFont="1">
      <alignment readingOrder="0"/>
    </xf>
    <xf borderId="51" fillId="0" fontId="22" numFmtId="2" xfId="0" applyAlignment="1" applyBorder="1" applyFont="1" applyNumberFormat="1">
      <alignment horizontal="center" vertical="bottom"/>
    </xf>
    <xf borderId="69" fillId="0" fontId="22" numFmtId="2" xfId="0" applyAlignment="1" applyBorder="1" applyFont="1" applyNumberFormat="1">
      <alignment horizontal="center" vertical="bottom"/>
    </xf>
    <xf borderId="51" fillId="2" fontId="27" numFmtId="2" xfId="0" applyAlignment="1" applyBorder="1" applyFill="1" applyFont="1" applyNumberFormat="1">
      <alignment horizontal="center" vertical="bottom"/>
    </xf>
    <xf borderId="69" fillId="2" fontId="27" numFmtId="2" xfId="0" applyAlignment="1" applyBorder="1" applyFill="1" applyFont="1" applyNumberFormat="1">
      <alignment horizontal="center" vertical="bottom"/>
    </xf>
    <xf borderId="69" fillId="0" fontId="28" numFmtId="49" xfId="0" applyAlignment="1" applyBorder="1" applyFont="1" applyNumberFormat="1">
      <alignment vertical="bottom"/>
    </xf>
    <xf borderId="71" fillId="0" fontId="28" numFmtId="49" xfId="0" applyAlignment="1" applyBorder="1" applyFont="1" applyNumberFormat="1">
      <alignment shrinkToFit="0" vertical="bottom" wrapText="0"/>
    </xf>
    <xf borderId="69" fillId="0" fontId="12" numFmtId="2" xfId="0" applyAlignment="1" applyBorder="1" applyFont="1" applyNumberFormat="1">
      <alignment horizontal="right" vertical="bottom"/>
    </xf>
    <xf borderId="69" fillId="14" fontId="20" numFmtId="0" xfId="0" applyAlignment="1" applyBorder="1" applyFill="1" applyFont="1">
      <alignment horizontal="center" vertical="bottom"/>
    </xf>
    <xf borderId="72" fillId="2" fontId="3" numFmtId="0" xfId="0" applyAlignment="1" applyBorder="1" applyFill="1" applyFont="1">
      <alignment readingOrder="0"/>
    </xf>
    <xf borderId="73" fillId="2" fontId="3" numFmtId="0" xfId="0" applyBorder="1" applyFill="1" applyFont="1"/>
    <xf borderId="74" fillId="2" fontId="3" numFmtId="0" xfId="0" applyAlignment="1" applyBorder="1" applyFill="1" applyFont="1">
      <alignment horizontal="center"/>
    </xf>
    <xf borderId="72" fillId="2" fontId="3" numFmtId="0" xfId="0" applyAlignment="1" applyBorder="1" applyFill="1" applyFont="1">
      <alignment horizontal="center" readingOrder="0" vertical="center"/>
    </xf>
    <xf borderId="73" fillId="2" fontId="3" numFmtId="0" xfId="0" applyAlignment="1" applyBorder="1" applyFill="1" applyFont="1">
      <alignment horizontal="center" readingOrder="0" vertical="center"/>
    </xf>
    <xf borderId="75" fillId="2" fontId="3" numFmtId="0" xfId="0" applyAlignment="1" applyBorder="1" applyFill="1" applyFont="1">
      <alignment horizontal="center" readingOrder="0" vertical="center"/>
    </xf>
    <xf borderId="76" fillId="2" fontId="3" numFmtId="0" xfId="0" applyAlignment="1" applyBorder="1" applyFill="1" applyFont="1">
      <alignment horizontal="center" vertical="center"/>
    </xf>
    <xf borderId="77" fillId="2" fontId="3" numFmtId="0" xfId="0" applyAlignment="1" applyBorder="1" applyFill="1" applyFont="1">
      <alignment horizontal="center" vertical="center"/>
    </xf>
    <xf borderId="77" fillId="2" fontId="3" numFmtId="0" xfId="0" applyAlignment="1" applyBorder="1" applyFill="1" applyFont="1">
      <alignment horizontal="center" readingOrder="0" vertical="center"/>
    </xf>
    <xf borderId="76" fillId="2" fontId="3" numFmtId="0" xfId="0" applyAlignment="1" applyBorder="1" applyFill="1" applyFont="1">
      <alignment horizontal="center" readingOrder="0" vertical="center"/>
    </xf>
    <xf borderId="78" fillId="2" fontId="3" numFmtId="0" xfId="0" applyAlignment="1" applyBorder="1" applyFill="1" applyFont="1">
      <alignment horizontal="center" readingOrder="0" vertical="center"/>
    </xf>
    <xf borderId="78" fillId="2" fontId="3" numFmtId="0" xfId="0" applyAlignment="1" applyBorder="1" applyFill="1" applyFont="1">
      <alignment horizontal="left" readingOrder="0"/>
    </xf>
    <xf borderId="79" fillId="2" fontId="3" numFmtId="49" xfId="0" applyAlignment="1" applyBorder="1" applyFill="1" applyFont="1" applyNumberFormat="1">
      <alignment horizontal="center" vertical="center"/>
    </xf>
    <xf borderId="72" fillId="2" fontId="3" numFmtId="49" xfId="0" applyAlignment="1" applyBorder="1" applyFill="1" applyFont="1" applyNumberFormat="1">
      <alignment horizontal="center" vertical="center"/>
    </xf>
    <xf borderId="75" fillId="2" fontId="3" numFmtId="49" xfId="0" applyAlignment="1" applyBorder="1" applyFill="1" applyFont="1" applyNumberFormat="1">
      <alignment horizontal="center" readingOrder="0" vertical="center"/>
    </xf>
    <xf borderId="80" fillId="2" fontId="3" numFmtId="0" xfId="0" applyAlignment="1" applyBorder="1" applyFill="1" applyFont="1">
      <alignment horizontal="center" vertical="center"/>
    </xf>
    <xf borderId="80" fillId="2" fontId="3" numFmtId="0" xfId="0" applyBorder="1" applyFill="1" applyFont="1"/>
    <xf borderId="1" fillId="2" fontId="3" numFmtId="0" xfId="0" applyAlignment="1" applyBorder="1" applyFill="1" applyFont="1">
      <alignment horizontal="center"/>
    </xf>
    <xf borderId="81" fillId="2" fontId="3" numFmtId="167" xfId="0" applyAlignment="1" applyBorder="1" applyFill="1" applyFont="1" applyNumberFormat="1">
      <alignment horizontal="center" vertical="center"/>
    </xf>
    <xf borderId="2" fillId="2" fontId="3" numFmtId="167" xfId="0" applyBorder="1" applyFill="1" applyFont="1" applyNumberFormat="1"/>
    <xf borderId="69" fillId="15" fontId="20" numFmtId="0" xfId="0" applyAlignment="1" applyBorder="1" applyFill="1" applyFont="1">
      <alignment horizontal="center" vertical="bottom"/>
    </xf>
    <xf borderId="62" fillId="12" fontId="3" numFmtId="164" xfId="0" applyAlignment="1" applyBorder="1" applyFill="1" applyFont="1" applyNumberFormat="1">
      <alignment horizontal="center"/>
    </xf>
    <xf borderId="76" fillId="12" fontId="3" numFmtId="164" xfId="0" applyAlignment="1" applyBorder="1" applyFill="1" applyFont="1" applyNumberFormat="1">
      <alignment horizontal="center"/>
    </xf>
    <xf borderId="73" fillId="2" fontId="3" numFmtId="0" xfId="0" applyAlignment="1" applyBorder="1" applyFill="1" applyFont="1">
      <alignment horizontal="center" vertical="center"/>
    </xf>
    <xf borderId="1" fillId="2" fontId="3" numFmtId="164" xfId="0" applyBorder="1" applyFill="1" applyFont="1" applyNumberFormat="1"/>
    <xf borderId="69" fillId="16" fontId="8" numFmtId="0" xfId="0" applyAlignment="1" applyBorder="1" applyFill="1" applyFont="1">
      <alignment horizontal="center" vertical="bottom"/>
    </xf>
    <xf borderId="69" fillId="0" fontId="28" numFmtId="0" xfId="0" applyAlignment="1" applyBorder="1" applyFont="1">
      <alignment horizontal="center" vertical="bottom"/>
    </xf>
    <xf borderId="69" fillId="0" fontId="28" numFmtId="49" xfId="0" applyAlignment="1" applyBorder="1" applyFont="1" applyNumberFormat="1">
      <alignment horizontal="center" vertical="bottom"/>
    </xf>
    <xf borderId="71" fillId="0" fontId="28" numFmtId="49" xfId="0" applyAlignment="1" applyBorder="1" applyFont="1" applyNumberFormat="1">
      <alignment horizontal="center" shrinkToFit="0" vertical="bottom" wrapText="0"/>
    </xf>
    <xf borderId="69" fillId="17" fontId="8" numFmtId="0" xfId="0" applyAlignment="1" applyBorder="1" applyFill="1" applyFont="1">
      <alignment horizontal="center" vertical="bottom"/>
    </xf>
    <xf borderId="71" fillId="0" fontId="4" numFmtId="0" xfId="0" applyAlignment="1" applyBorder="1" applyFont="1">
      <alignment vertical="bottom"/>
    </xf>
    <xf borderId="71" fillId="0" fontId="4" numFmtId="0" xfId="0" applyAlignment="1" applyBorder="1" applyFont="1">
      <alignment vertical="bottom"/>
    </xf>
    <xf borderId="27" fillId="0" fontId="3" numFmtId="0" xfId="0" applyAlignment="1" applyBorder="1" applyFont="1">
      <alignment horizontal="left" readingOrder="0" vertical="center"/>
    </xf>
    <xf borderId="69" fillId="0" fontId="4" numFmtId="2" xfId="0" applyAlignment="1" applyBorder="1" applyFont="1" applyNumberFormat="1">
      <alignment horizontal="right" vertical="bottom"/>
    </xf>
    <xf borderId="71" fillId="0" fontId="28" numFmtId="0" xfId="0" applyAlignment="1" applyBorder="1" applyFont="1">
      <alignment horizontal="center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9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none"/>
      </fill>
      <border/>
    </dxf>
    <dxf>
      <font>
        <color rgb="FF262626"/>
      </font>
      <fill>
        <patternFill patternType="solid">
          <fgColor rgb="FF262626"/>
          <bgColor rgb="FF262626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33CC"/>
          <bgColor rgb="FFFF33CC"/>
        </patternFill>
      </fill>
      <border/>
    </dxf>
    <dxf>
      <font>
        <b/>
        <color rgb="FFF2F2F2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2.5"/>
    <col customWidth="1" min="2" max="2" width="2.75"/>
    <col customWidth="1" min="3" max="3" width="12.0"/>
    <col customWidth="1" min="4" max="4" width="26.88"/>
    <col customWidth="1" min="5" max="6" width="10.13"/>
    <col customWidth="1" min="7" max="69" width="2.75"/>
  </cols>
  <sheetData>
    <row r="1" ht="15.0" customHeight="1">
      <c r="A1" s="1"/>
      <c r="B1" s="1"/>
      <c r="C1" s="1"/>
      <c r="D1" s="1"/>
      <c r="E1" s="1"/>
      <c r="F1" s="4"/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6" t="s">
        <v>2</v>
      </c>
      <c r="O1" s="6" t="s">
        <v>2</v>
      </c>
      <c r="P1" s="6" t="s">
        <v>2</v>
      </c>
      <c r="Q1" s="6" t="s">
        <v>2</v>
      </c>
      <c r="R1" s="6" t="s">
        <v>2</v>
      </c>
      <c r="S1" s="6" t="s">
        <v>2</v>
      </c>
      <c r="T1" s="6" t="s">
        <v>2</v>
      </c>
      <c r="U1" s="6" t="s">
        <v>4</v>
      </c>
      <c r="V1" s="6" t="s">
        <v>4</v>
      </c>
      <c r="W1" s="6" t="s">
        <v>4</v>
      </c>
      <c r="X1" s="6" t="s">
        <v>4</v>
      </c>
      <c r="Y1" s="6" t="s">
        <v>4</v>
      </c>
      <c r="Z1" s="6" t="s">
        <v>4</v>
      </c>
      <c r="AA1" s="6" t="s">
        <v>4</v>
      </c>
      <c r="AB1" s="6" t="s">
        <v>6</v>
      </c>
      <c r="AC1" s="6" t="s">
        <v>6</v>
      </c>
      <c r="AD1" s="6" t="s">
        <v>6</v>
      </c>
      <c r="AE1" s="6" t="s">
        <v>6</v>
      </c>
      <c r="AF1" s="6" t="s">
        <v>6</v>
      </c>
      <c r="AG1" s="6" t="s">
        <v>6</v>
      </c>
      <c r="AH1" s="6" t="s">
        <v>6</v>
      </c>
      <c r="AI1" s="6" t="s">
        <v>9</v>
      </c>
      <c r="AJ1" s="6" t="s">
        <v>9</v>
      </c>
      <c r="AK1" s="6" t="s">
        <v>9</v>
      </c>
      <c r="AL1" s="6" t="s">
        <v>9</v>
      </c>
      <c r="AM1" s="6" t="s">
        <v>9</v>
      </c>
      <c r="AN1" s="6" t="s">
        <v>9</v>
      </c>
      <c r="AO1" s="6" t="s">
        <v>9</v>
      </c>
      <c r="AP1" s="6" t="s">
        <v>10</v>
      </c>
      <c r="AQ1" s="6" t="s">
        <v>10</v>
      </c>
      <c r="AR1" s="6" t="s">
        <v>10</v>
      </c>
      <c r="AS1" s="6" t="s">
        <v>10</v>
      </c>
      <c r="AT1" s="6" t="s">
        <v>10</v>
      </c>
      <c r="AU1" s="6" t="s">
        <v>10</v>
      </c>
      <c r="AV1" s="6" t="s">
        <v>10</v>
      </c>
      <c r="AW1" s="6" t="s">
        <v>13</v>
      </c>
      <c r="AX1" s="6" t="s">
        <v>13</v>
      </c>
      <c r="AY1" s="6" t="s">
        <v>13</v>
      </c>
      <c r="AZ1" s="6" t="s">
        <v>13</v>
      </c>
      <c r="BA1" s="6" t="s">
        <v>13</v>
      </c>
      <c r="BB1" s="6" t="s">
        <v>13</v>
      </c>
      <c r="BC1" s="6" t="s">
        <v>13</v>
      </c>
      <c r="BD1" s="6" t="s">
        <v>17</v>
      </c>
      <c r="BE1" s="6" t="s">
        <v>17</v>
      </c>
      <c r="BF1" s="6" t="s">
        <v>17</v>
      </c>
      <c r="BG1" s="6" t="s">
        <v>17</v>
      </c>
      <c r="BH1" s="6" t="s">
        <v>17</v>
      </c>
      <c r="BI1" s="6" t="s">
        <v>17</v>
      </c>
      <c r="BJ1" s="6" t="s">
        <v>17</v>
      </c>
      <c r="BK1" s="6" t="s">
        <v>21</v>
      </c>
      <c r="BL1" s="6" t="s">
        <v>21</v>
      </c>
      <c r="BM1" s="6" t="s">
        <v>21</v>
      </c>
      <c r="BN1" s="6" t="s">
        <v>21</v>
      </c>
      <c r="BO1" s="6" t="s">
        <v>21</v>
      </c>
      <c r="BP1" s="6" t="s">
        <v>21</v>
      </c>
      <c r="BQ1" s="6" t="s">
        <v>21</v>
      </c>
    </row>
    <row r="2" ht="15.0" customHeight="1">
      <c r="A2" s="29"/>
      <c r="B2" s="30" t="s">
        <v>28</v>
      </c>
      <c r="C2" s="11"/>
      <c r="D2" s="11"/>
      <c r="E2" s="11"/>
      <c r="F2" s="13"/>
      <c r="G2" s="32" t="s">
        <v>35</v>
      </c>
      <c r="H2" s="19"/>
      <c r="I2" s="19"/>
      <c r="J2" s="19"/>
      <c r="K2" s="19"/>
      <c r="L2" s="19"/>
      <c r="M2" s="19"/>
      <c r="N2" s="19"/>
      <c r="O2" s="19"/>
      <c r="P2" s="32" t="s">
        <v>42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20"/>
      <c r="AU2" s="32" t="s">
        <v>47</v>
      </c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20"/>
    </row>
    <row r="3" ht="15.0" customHeight="1">
      <c r="A3" s="29"/>
      <c r="B3" s="41"/>
      <c r="C3" s="42"/>
      <c r="D3" s="42"/>
      <c r="E3" s="42"/>
      <c r="F3" s="43"/>
      <c r="G3" s="45" t="s">
        <v>19</v>
      </c>
      <c r="H3" s="42"/>
      <c r="I3" s="42"/>
      <c r="J3" s="42"/>
      <c r="K3" s="42"/>
      <c r="L3" s="42"/>
      <c r="M3" s="48"/>
      <c r="N3" s="51" t="s">
        <v>22</v>
      </c>
      <c r="O3" s="42"/>
      <c r="P3" s="42"/>
      <c r="Q3" s="42"/>
      <c r="R3" s="42"/>
      <c r="S3" s="42"/>
      <c r="T3" s="48"/>
      <c r="U3" s="51" t="s">
        <v>25</v>
      </c>
      <c r="V3" s="42"/>
      <c r="W3" s="42"/>
      <c r="X3" s="42"/>
      <c r="Y3" s="42"/>
      <c r="Z3" s="42"/>
      <c r="AA3" s="48"/>
      <c r="AB3" s="51" t="s">
        <v>26</v>
      </c>
      <c r="AC3" s="42"/>
      <c r="AD3" s="42"/>
      <c r="AE3" s="42"/>
      <c r="AF3" s="42"/>
      <c r="AG3" s="42"/>
      <c r="AH3" s="48"/>
      <c r="AI3" s="51" t="s">
        <v>27</v>
      </c>
      <c r="AJ3" s="42"/>
      <c r="AK3" s="42"/>
      <c r="AL3" s="42"/>
      <c r="AM3" s="42"/>
      <c r="AN3" s="42"/>
      <c r="AO3" s="48"/>
      <c r="AP3" s="51" t="s">
        <v>29</v>
      </c>
      <c r="AQ3" s="42"/>
      <c r="AR3" s="42"/>
      <c r="AS3" s="42"/>
      <c r="AT3" s="42"/>
      <c r="AU3" s="42"/>
      <c r="AV3" s="48"/>
      <c r="AW3" s="51" t="s">
        <v>30</v>
      </c>
      <c r="AX3" s="42"/>
      <c r="AY3" s="42"/>
      <c r="AZ3" s="42"/>
      <c r="BA3" s="42"/>
      <c r="BB3" s="42"/>
      <c r="BC3" s="48"/>
      <c r="BD3" s="51" t="s">
        <v>32</v>
      </c>
      <c r="BE3" s="42"/>
      <c r="BF3" s="42"/>
      <c r="BG3" s="42"/>
      <c r="BH3" s="42"/>
      <c r="BI3" s="42"/>
      <c r="BJ3" s="48"/>
      <c r="BK3" s="51" t="s">
        <v>34</v>
      </c>
      <c r="BL3" s="42"/>
      <c r="BM3" s="42"/>
      <c r="BN3" s="42"/>
      <c r="BO3" s="42"/>
      <c r="BP3" s="42"/>
      <c r="BQ3" s="48"/>
    </row>
    <row r="4">
      <c r="A4" s="29"/>
      <c r="B4" s="44"/>
      <c r="C4" s="46" t="s">
        <v>50</v>
      </c>
      <c r="D4" s="46" t="s">
        <v>51</v>
      </c>
      <c r="E4" s="46" t="s">
        <v>52</v>
      </c>
      <c r="F4" s="64" t="s">
        <v>58</v>
      </c>
      <c r="G4" s="66">
        <v>46195.0</v>
      </c>
      <c r="H4" s="72">
        <f t="shared" ref="H4:BQ4" si="1">G4+1</f>
        <v>46196</v>
      </c>
      <c r="I4" s="72">
        <f t="shared" si="1"/>
        <v>46197</v>
      </c>
      <c r="J4" s="72">
        <f t="shared" si="1"/>
        <v>46198</v>
      </c>
      <c r="K4" s="72">
        <f t="shared" si="1"/>
        <v>46199</v>
      </c>
      <c r="L4" s="72">
        <f t="shared" si="1"/>
        <v>46200</v>
      </c>
      <c r="M4" s="76">
        <f t="shared" si="1"/>
        <v>46201</v>
      </c>
      <c r="N4" s="77">
        <f t="shared" si="1"/>
        <v>46202</v>
      </c>
      <c r="O4" s="72">
        <f t="shared" si="1"/>
        <v>46203</v>
      </c>
      <c r="P4" s="72">
        <f t="shared" si="1"/>
        <v>46204</v>
      </c>
      <c r="Q4" s="72">
        <f t="shared" si="1"/>
        <v>46205</v>
      </c>
      <c r="R4" s="72">
        <f t="shared" si="1"/>
        <v>46206</v>
      </c>
      <c r="S4" s="72">
        <f t="shared" si="1"/>
        <v>46207</v>
      </c>
      <c r="T4" s="76">
        <f t="shared" si="1"/>
        <v>46208</v>
      </c>
      <c r="U4" s="77">
        <f t="shared" si="1"/>
        <v>46209</v>
      </c>
      <c r="V4" s="72">
        <f t="shared" si="1"/>
        <v>46210</v>
      </c>
      <c r="W4" s="72">
        <f t="shared" si="1"/>
        <v>46211</v>
      </c>
      <c r="X4" s="72">
        <f t="shared" si="1"/>
        <v>46212</v>
      </c>
      <c r="Y4" s="72">
        <f t="shared" si="1"/>
        <v>46213</v>
      </c>
      <c r="Z4" s="72">
        <f t="shared" si="1"/>
        <v>46214</v>
      </c>
      <c r="AA4" s="76">
        <f t="shared" si="1"/>
        <v>46215</v>
      </c>
      <c r="AB4" s="77">
        <f t="shared" si="1"/>
        <v>46216</v>
      </c>
      <c r="AC4" s="72">
        <f t="shared" si="1"/>
        <v>46217</v>
      </c>
      <c r="AD4" s="72">
        <f t="shared" si="1"/>
        <v>46218</v>
      </c>
      <c r="AE4" s="72">
        <f t="shared" si="1"/>
        <v>46219</v>
      </c>
      <c r="AF4" s="72">
        <f t="shared" si="1"/>
        <v>46220</v>
      </c>
      <c r="AG4" s="72">
        <f t="shared" si="1"/>
        <v>46221</v>
      </c>
      <c r="AH4" s="76">
        <f t="shared" si="1"/>
        <v>46222</v>
      </c>
      <c r="AI4" s="77">
        <f t="shared" si="1"/>
        <v>46223</v>
      </c>
      <c r="AJ4" s="72">
        <f t="shared" si="1"/>
        <v>46224</v>
      </c>
      <c r="AK4" s="72">
        <f t="shared" si="1"/>
        <v>46225</v>
      </c>
      <c r="AL4" s="72">
        <f t="shared" si="1"/>
        <v>46226</v>
      </c>
      <c r="AM4" s="72">
        <f t="shared" si="1"/>
        <v>46227</v>
      </c>
      <c r="AN4" s="72">
        <f t="shared" si="1"/>
        <v>46228</v>
      </c>
      <c r="AO4" s="76">
        <f t="shared" si="1"/>
        <v>46229</v>
      </c>
      <c r="AP4" s="77">
        <f t="shared" si="1"/>
        <v>46230</v>
      </c>
      <c r="AQ4" s="72">
        <f t="shared" si="1"/>
        <v>46231</v>
      </c>
      <c r="AR4" s="72">
        <f t="shared" si="1"/>
        <v>46232</v>
      </c>
      <c r="AS4" s="72">
        <f t="shared" si="1"/>
        <v>46233</v>
      </c>
      <c r="AT4" s="72">
        <f t="shared" si="1"/>
        <v>46234</v>
      </c>
      <c r="AU4" s="72">
        <f t="shared" si="1"/>
        <v>46235</v>
      </c>
      <c r="AV4" s="76">
        <f t="shared" si="1"/>
        <v>46236</v>
      </c>
      <c r="AW4" s="77">
        <f t="shared" si="1"/>
        <v>46237</v>
      </c>
      <c r="AX4" s="72">
        <f t="shared" si="1"/>
        <v>46238</v>
      </c>
      <c r="AY4" s="72">
        <f t="shared" si="1"/>
        <v>46239</v>
      </c>
      <c r="AZ4" s="72">
        <f t="shared" si="1"/>
        <v>46240</v>
      </c>
      <c r="BA4" s="72">
        <f t="shared" si="1"/>
        <v>46241</v>
      </c>
      <c r="BB4" s="72">
        <f t="shared" si="1"/>
        <v>46242</v>
      </c>
      <c r="BC4" s="76">
        <f t="shared" si="1"/>
        <v>46243</v>
      </c>
      <c r="BD4" s="77">
        <f t="shared" si="1"/>
        <v>46244</v>
      </c>
      <c r="BE4" s="72">
        <f t="shared" si="1"/>
        <v>46245</v>
      </c>
      <c r="BF4" s="72">
        <f t="shared" si="1"/>
        <v>46246</v>
      </c>
      <c r="BG4" s="72">
        <f t="shared" si="1"/>
        <v>46247</v>
      </c>
      <c r="BH4" s="72">
        <f t="shared" si="1"/>
        <v>46248</v>
      </c>
      <c r="BI4" s="72">
        <f t="shared" si="1"/>
        <v>46249</v>
      </c>
      <c r="BJ4" s="76">
        <f t="shared" si="1"/>
        <v>46250</v>
      </c>
      <c r="BK4" s="77">
        <f t="shared" si="1"/>
        <v>46251</v>
      </c>
      <c r="BL4" s="72">
        <f t="shared" si="1"/>
        <v>46252</v>
      </c>
      <c r="BM4" s="72">
        <f t="shared" si="1"/>
        <v>46253</v>
      </c>
      <c r="BN4" s="72">
        <f t="shared" si="1"/>
        <v>46254</v>
      </c>
      <c r="BO4" s="72">
        <f t="shared" si="1"/>
        <v>46255</v>
      </c>
      <c r="BP4" s="72">
        <f t="shared" si="1"/>
        <v>46256</v>
      </c>
      <c r="BQ4" s="76">
        <f t="shared" si="1"/>
        <v>46257</v>
      </c>
    </row>
    <row r="5" ht="15.0" customHeight="1">
      <c r="A5" s="3" t="str">
        <f>'D2'!D4</f>
        <v>ESC.LID-0209</v>
      </c>
      <c r="B5" s="78">
        <v>1.0</v>
      </c>
      <c r="C5" s="80" t="str">
        <f>'D2'!C4</f>
        <v>AUDI ESTELA SAHUANAY HUISACAYNA</v>
      </c>
      <c r="D5" s="80" t="str">
        <f>'D2'!F4</f>
        <v>ALVA PATRÓN, ISAÍAS SAID</v>
      </c>
      <c r="E5" s="80" t="str">
        <f>'D2'!G4</f>
        <v>72066954</v>
      </c>
      <c r="F5" s="112">
        <v>39672.0</v>
      </c>
      <c r="G5" s="115"/>
      <c r="H5" s="117"/>
      <c r="I5" s="117"/>
      <c r="J5" s="117"/>
      <c r="K5" s="117"/>
      <c r="L5" s="117">
        <v>1.0</v>
      </c>
      <c r="M5" s="121"/>
      <c r="N5" s="115"/>
      <c r="O5" s="117">
        <v>1.0</v>
      </c>
      <c r="P5" s="117"/>
      <c r="Q5" s="117">
        <v>1.0</v>
      </c>
      <c r="R5" s="117"/>
      <c r="S5" s="117"/>
      <c r="T5" s="121"/>
      <c r="U5" s="115"/>
      <c r="V5" s="117">
        <v>1.0</v>
      </c>
      <c r="W5" s="117"/>
      <c r="X5" s="117">
        <v>1.0</v>
      </c>
      <c r="Y5" s="117"/>
      <c r="Z5" s="117"/>
      <c r="AA5" s="121"/>
      <c r="AB5" s="115"/>
      <c r="AC5" s="117"/>
      <c r="AD5" s="117">
        <v>1.0</v>
      </c>
      <c r="AE5" s="117">
        <v>1.0</v>
      </c>
      <c r="AF5" s="117"/>
      <c r="AG5" s="117"/>
      <c r="AH5" s="121"/>
      <c r="AI5" s="115"/>
      <c r="AJ5" s="117"/>
      <c r="AK5" s="117"/>
      <c r="AL5" s="117"/>
      <c r="AM5" s="117"/>
      <c r="AN5" s="117"/>
      <c r="AO5" s="121"/>
      <c r="AP5" s="115"/>
      <c r="AQ5" s="117"/>
      <c r="AR5" s="117"/>
      <c r="AS5" s="117"/>
      <c r="AT5" s="117"/>
      <c r="AU5" s="117"/>
      <c r="AV5" s="121"/>
      <c r="AW5" s="115"/>
      <c r="AX5" s="117"/>
      <c r="AY5" s="117">
        <v>1.0</v>
      </c>
      <c r="AZ5" s="117"/>
      <c r="BA5" s="117"/>
      <c r="BB5" s="117"/>
      <c r="BC5" s="121"/>
      <c r="BD5" s="115"/>
      <c r="BE5" s="117"/>
      <c r="BF5" s="117"/>
      <c r="BG5" s="117"/>
      <c r="BH5" s="117"/>
      <c r="BI5" s="117"/>
      <c r="BJ5" s="121"/>
      <c r="BK5" s="115"/>
      <c r="BL5" s="117"/>
      <c r="BM5" s="117"/>
      <c r="BN5" s="117"/>
      <c r="BO5" s="117"/>
      <c r="BP5" s="117"/>
      <c r="BQ5" s="121"/>
    </row>
    <row r="6" ht="15.0" customHeight="1">
      <c r="A6" s="3" t="str">
        <f>'D2'!D5</f>
        <v>ESC.LID-0214</v>
      </c>
      <c r="B6" s="107">
        <f t="shared" ref="B6:B64" si="2">1+B5</f>
        <v>2</v>
      </c>
      <c r="C6" s="80" t="str">
        <f>'D2'!C5</f>
        <v>AUDI ESTELA SAHUANAY HUISACAYNA</v>
      </c>
      <c r="D6" s="80" t="str">
        <f>'D2'!F5</f>
        <v>ARANDA HACHER, FELIPE MANUEL</v>
      </c>
      <c r="E6" s="80" t="str">
        <f>'D2'!G5</f>
        <v>42973857</v>
      </c>
      <c r="F6" s="130">
        <v>31169.0</v>
      </c>
      <c r="G6" s="115"/>
      <c r="H6" s="117"/>
      <c r="I6" s="117"/>
      <c r="J6" s="117"/>
      <c r="K6" s="117"/>
      <c r="L6" s="117"/>
      <c r="M6" s="121"/>
      <c r="N6" s="115"/>
      <c r="O6" s="117"/>
      <c r="P6" s="117"/>
      <c r="Q6" s="117"/>
      <c r="R6" s="117"/>
      <c r="S6" s="117"/>
      <c r="T6" s="121"/>
      <c r="U6" s="115"/>
      <c r="V6" s="117"/>
      <c r="W6" s="117"/>
      <c r="X6" s="117"/>
      <c r="Y6" s="117"/>
      <c r="Z6" s="117"/>
      <c r="AA6" s="121"/>
      <c r="AB6" s="115"/>
      <c r="AC6" s="117"/>
      <c r="AD6" s="117"/>
      <c r="AE6" s="117"/>
      <c r="AF6" s="117"/>
      <c r="AG6" s="117"/>
      <c r="AH6" s="121"/>
      <c r="AI6" s="115"/>
      <c r="AJ6" s="117"/>
      <c r="AK6" s="117"/>
      <c r="AL6" s="117"/>
      <c r="AM6" s="117"/>
      <c r="AN6" s="117"/>
      <c r="AO6" s="121"/>
      <c r="AP6" s="115"/>
      <c r="AQ6" s="117"/>
      <c r="AR6" s="117"/>
      <c r="AS6" s="117"/>
      <c r="AT6" s="117"/>
      <c r="AU6" s="117"/>
      <c r="AV6" s="121"/>
      <c r="AW6" s="115"/>
      <c r="AX6" s="117"/>
      <c r="AY6" s="117"/>
      <c r="AZ6" s="117"/>
      <c r="BA6" s="117"/>
      <c r="BB6" s="117"/>
      <c r="BC6" s="121"/>
      <c r="BD6" s="115"/>
      <c r="BE6" s="117"/>
      <c r="BF6" s="117"/>
      <c r="BG6" s="117"/>
      <c r="BH6" s="117"/>
      <c r="BI6" s="117"/>
      <c r="BJ6" s="121"/>
      <c r="BK6" s="115"/>
      <c r="BL6" s="117"/>
      <c r="BM6" s="117"/>
      <c r="BN6" s="117"/>
      <c r="BO6" s="117"/>
      <c r="BP6" s="117"/>
      <c r="BQ6" s="121"/>
    </row>
    <row r="7" ht="15.0" customHeight="1">
      <c r="A7" s="3" t="str">
        <f>'D2'!D6</f>
        <v>ESC.LID-0221</v>
      </c>
      <c r="B7" s="107">
        <f t="shared" si="2"/>
        <v>3</v>
      </c>
      <c r="C7" s="133" t="str">
        <f>'D2'!C6</f>
        <v>AUDI ESTELA SAHUANAY HUISACAYNA</v>
      </c>
      <c r="D7" s="80" t="str">
        <f>'D2'!F6</f>
        <v>CACERES VARGAS, WILBER ALFREDO</v>
      </c>
      <c r="E7" s="80" t="str">
        <f>'D2'!G6</f>
        <v>09481596</v>
      </c>
      <c r="F7" s="112">
        <v>25381.0</v>
      </c>
      <c r="G7" s="115"/>
      <c r="H7" s="117"/>
      <c r="I7" s="134"/>
      <c r="J7" s="134"/>
      <c r="K7" s="134"/>
      <c r="L7" s="135"/>
      <c r="M7" s="137"/>
      <c r="N7" s="115"/>
      <c r="O7" s="117"/>
      <c r="P7" s="117"/>
      <c r="Q7" s="117"/>
      <c r="R7" s="117"/>
      <c r="S7" s="117"/>
      <c r="T7" s="121"/>
      <c r="U7" s="115"/>
      <c r="V7" s="117"/>
      <c r="W7" s="117"/>
      <c r="X7" s="117"/>
      <c r="Y7" s="117"/>
      <c r="Z7" s="117"/>
      <c r="AA7" s="121"/>
      <c r="AB7" s="115"/>
      <c r="AC7" s="117"/>
      <c r="AD7" s="117"/>
      <c r="AE7" s="117"/>
      <c r="AF7" s="117"/>
      <c r="AG7" s="117"/>
      <c r="AH7" s="121"/>
      <c r="AI7" s="115"/>
      <c r="AJ7" s="117"/>
      <c r="AK7" s="117"/>
      <c r="AL7" s="117"/>
      <c r="AM7" s="117"/>
      <c r="AN7" s="117"/>
      <c r="AO7" s="121"/>
      <c r="AP7" s="115"/>
      <c r="AQ7" s="117"/>
      <c r="AR7" s="117"/>
      <c r="AS7" s="117"/>
      <c r="AT7" s="117"/>
      <c r="AU7" s="117"/>
      <c r="AV7" s="121"/>
      <c r="AW7" s="115"/>
      <c r="AX7" s="117"/>
      <c r="AY7" s="117"/>
      <c r="AZ7" s="117"/>
      <c r="BA7" s="117"/>
      <c r="BB7" s="117"/>
      <c r="BC7" s="121"/>
      <c r="BD7" s="115"/>
      <c r="BE7" s="117"/>
      <c r="BF7" s="117"/>
      <c r="BG7" s="117"/>
      <c r="BH7" s="117"/>
      <c r="BI7" s="117"/>
      <c r="BJ7" s="121"/>
      <c r="BK7" s="115"/>
      <c r="BL7" s="117"/>
      <c r="BM7" s="117"/>
      <c r="BN7" s="117"/>
      <c r="BO7" s="117"/>
      <c r="BP7" s="117"/>
      <c r="BQ7" s="121"/>
    </row>
    <row r="8" ht="15.0" customHeight="1">
      <c r="A8" s="3" t="str">
        <f>'D2'!D7</f>
        <v>ESC.LID-0227</v>
      </c>
      <c r="B8" s="107">
        <f t="shared" si="2"/>
        <v>4</v>
      </c>
      <c r="C8" s="133" t="str">
        <f>'D2'!C7</f>
        <v>AUDI ESTELA SAHUANAY HUISACAYNA</v>
      </c>
      <c r="D8" s="80" t="str">
        <f>'D2'!F7</f>
        <v>COMENTERO CARREÑO, MAYLY</v>
      </c>
      <c r="E8" s="80" t="str">
        <f>'D2'!G7</f>
        <v>76057551</v>
      </c>
      <c r="F8" s="130">
        <v>38334.0</v>
      </c>
      <c r="G8" s="115"/>
      <c r="H8" s="117"/>
      <c r="I8" s="134"/>
      <c r="J8" s="134"/>
      <c r="K8" s="134"/>
      <c r="L8" s="135"/>
      <c r="M8" s="137"/>
      <c r="N8" s="115"/>
      <c r="O8" s="117"/>
      <c r="P8" s="117"/>
      <c r="Q8" s="117"/>
      <c r="R8" s="117"/>
      <c r="S8" s="117"/>
      <c r="T8" s="121"/>
      <c r="U8" s="115"/>
      <c r="V8" s="117"/>
      <c r="W8" s="117"/>
      <c r="X8" s="117"/>
      <c r="Y8" s="117"/>
      <c r="Z8" s="117"/>
      <c r="AA8" s="121"/>
      <c r="AB8" s="115"/>
      <c r="AC8" s="117"/>
      <c r="AD8" s="117"/>
      <c r="AE8" s="117"/>
      <c r="AF8" s="117"/>
      <c r="AG8" s="117"/>
      <c r="AH8" s="121"/>
      <c r="AI8" s="115"/>
      <c r="AJ8" s="117"/>
      <c r="AK8" s="117"/>
      <c r="AL8" s="117"/>
      <c r="AM8" s="117"/>
      <c r="AN8" s="117"/>
      <c r="AO8" s="121"/>
      <c r="AP8" s="115"/>
      <c r="AQ8" s="117"/>
      <c r="AR8" s="117"/>
      <c r="AS8" s="117"/>
      <c r="AT8" s="117"/>
      <c r="AU8" s="117"/>
      <c r="AV8" s="121"/>
      <c r="AW8" s="115"/>
      <c r="AX8" s="117"/>
      <c r="AY8" s="117"/>
      <c r="AZ8" s="117"/>
      <c r="BA8" s="117"/>
      <c r="BB8" s="117"/>
      <c r="BC8" s="121"/>
      <c r="BD8" s="115"/>
      <c r="BE8" s="117"/>
      <c r="BF8" s="117"/>
      <c r="BG8" s="117"/>
      <c r="BH8" s="117"/>
      <c r="BI8" s="117"/>
      <c r="BJ8" s="121"/>
      <c r="BK8" s="115"/>
      <c r="BL8" s="117"/>
      <c r="BM8" s="117"/>
      <c r="BN8" s="117"/>
      <c r="BO8" s="117"/>
      <c r="BP8" s="117"/>
      <c r="BQ8" s="121"/>
    </row>
    <row r="9" ht="15.0" customHeight="1">
      <c r="A9" s="3" t="str">
        <f>'D2'!D8</f>
        <v>ESC.LID-0233</v>
      </c>
      <c r="B9" s="107">
        <f t="shared" si="2"/>
        <v>5</v>
      </c>
      <c r="C9" s="133" t="str">
        <f>'D2'!C8</f>
        <v>AUDI ESTELA SAHUANAY HUISACAYNA</v>
      </c>
      <c r="D9" s="80" t="str">
        <f>'D2'!F8</f>
        <v>ECHEVARRIA LINARES, EDISON EDWARD’S</v>
      </c>
      <c r="E9" s="80" t="str">
        <f>'D2'!G8</f>
        <v>73683815</v>
      </c>
      <c r="F9" s="138">
        <v>34217.0</v>
      </c>
      <c r="G9" s="115"/>
      <c r="H9" s="117"/>
      <c r="I9" s="134"/>
      <c r="J9" s="117">
        <v>1.0</v>
      </c>
      <c r="K9" s="117">
        <v>1.0</v>
      </c>
      <c r="L9" s="117">
        <v>1.0</v>
      </c>
      <c r="M9" s="121">
        <v>1.0</v>
      </c>
      <c r="N9" s="115">
        <v>1.0</v>
      </c>
      <c r="O9" s="117">
        <v>1.0</v>
      </c>
      <c r="P9" s="117">
        <v>1.0</v>
      </c>
      <c r="Q9" s="117">
        <v>1.0</v>
      </c>
      <c r="R9" s="117">
        <v>1.0</v>
      </c>
      <c r="S9" s="117">
        <v>1.0</v>
      </c>
      <c r="T9" s="117">
        <v>1.0</v>
      </c>
      <c r="U9" s="117">
        <v>1.0</v>
      </c>
      <c r="V9" s="117">
        <v>1.0</v>
      </c>
      <c r="W9" s="117">
        <v>1.0</v>
      </c>
      <c r="X9" s="117">
        <v>1.0</v>
      </c>
      <c r="Y9" s="117">
        <v>1.0</v>
      </c>
      <c r="Z9" s="117">
        <v>1.0</v>
      </c>
      <c r="AA9" s="117">
        <v>1.0</v>
      </c>
      <c r="AB9" s="117">
        <v>1.0</v>
      </c>
      <c r="AC9" s="117">
        <v>1.0</v>
      </c>
      <c r="AD9" s="117">
        <v>1.0</v>
      </c>
      <c r="AE9" s="117">
        <v>1.0</v>
      </c>
      <c r="AF9" s="117">
        <v>1.0</v>
      </c>
      <c r="AG9" s="117">
        <v>1.0</v>
      </c>
      <c r="AH9" s="117">
        <v>1.0</v>
      </c>
      <c r="AI9" s="10"/>
      <c r="AJ9" s="10"/>
      <c r="AK9" s="10"/>
      <c r="AL9" s="10"/>
      <c r="AM9" s="10"/>
      <c r="AN9" s="10"/>
      <c r="AO9" s="10"/>
      <c r="AP9" s="2">
        <v>1.0</v>
      </c>
      <c r="AQ9" s="2">
        <v>1.0</v>
      </c>
      <c r="AR9" s="2">
        <v>1.0</v>
      </c>
      <c r="AS9" s="2">
        <v>1.0</v>
      </c>
      <c r="AT9" s="2">
        <v>1.0</v>
      </c>
      <c r="AU9" s="2">
        <v>1.0</v>
      </c>
      <c r="AV9" s="2">
        <v>1.0</v>
      </c>
      <c r="AW9" s="2">
        <v>1.0</v>
      </c>
      <c r="AX9" s="2">
        <v>1.0</v>
      </c>
      <c r="AY9" s="2">
        <v>1.0</v>
      </c>
      <c r="AZ9" s="2">
        <v>1.0</v>
      </c>
      <c r="BA9" s="2">
        <v>1.0</v>
      </c>
      <c r="BB9" s="2">
        <v>1.0</v>
      </c>
      <c r="BC9" s="2">
        <v>1.0</v>
      </c>
      <c r="BD9" s="10"/>
      <c r="BE9" s="117"/>
      <c r="BF9" s="117"/>
      <c r="BG9" s="117"/>
      <c r="BH9" s="117"/>
      <c r="BI9" s="117"/>
      <c r="BJ9" s="121"/>
      <c r="BK9" s="115"/>
      <c r="BL9" s="117"/>
      <c r="BM9" s="117"/>
      <c r="BN9" s="117"/>
      <c r="BO9" s="117"/>
      <c r="BP9" s="117"/>
      <c r="BQ9" s="121"/>
    </row>
    <row r="10" ht="15.0" customHeight="1">
      <c r="A10" s="3" t="str">
        <f>'D2'!D9</f>
        <v>ESC.LID-0244</v>
      </c>
      <c r="B10" s="107">
        <f t="shared" si="2"/>
        <v>6</v>
      </c>
      <c r="C10" s="133" t="str">
        <f>'D2'!C9</f>
        <v>AUDI ESTELA SAHUANAY HUISACAYNA</v>
      </c>
      <c r="D10" s="80" t="str">
        <f>'D2'!F9</f>
        <v>LLAJA TICONA , SAINT</v>
      </c>
      <c r="E10" s="80" t="str">
        <f>'D2'!G9</f>
        <v>70285329</v>
      </c>
      <c r="F10" s="141">
        <v>36152.0</v>
      </c>
      <c r="G10" s="115"/>
      <c r="H10" s="117">
        <v>1.0</v>
      </c>
      <c r="I10" s="117">
        <v>1.0</v>
      </c>
      <c r="J10" s="117">
        <v>1.0</v>
      </c>
      <c r="K10" s="117">
        <v>1.0</v>
      </c>
      <c r="L10" s="117">
        <v>1.0</v>
      </c>
      <c r="M10" s="117">
        <v>1.0</v>
      </c>
      <c r="N10" s="117">
        <v>1.0</v>
      </c>
      <c r="O10" s="117">
        <v>1.0</v>
      </c>
      <c r="P10" s="117">
        <v>1.0</v>
      </c>
      <c r="Q10" s="117">
        <v>1.0</v>
      </c>
      <c r="R10" s="117">
        <v>1.0</v>
      </c>
      <c r="S10" s="117">
        <v>1.0</v>
      </c>
      <c r="T10" s="121">
        <v>1.0</v>
      </c>
      <c r="U10" s="115">
        <v>1.0</v>
      </c>
      <c r="V10" s="117">
        <v>1.0</v>
      </c>
      <c r="W10" s="117">
        <v>1.0</v>
      </c>
      <c r="X10" s="117"/>
      <c r="Y10" s="117">
        <v>1.0</v>
      </c>
      <c r="Z10" s="117"/>
      <c r="AA10" s="121"/>
      <c r="AB10" s="115">
        <v>1.0</v>
      </c>
      <c r="AC10" s="117">
        <v>1.0</v>
      </c>
      <c r="AD10" s="117">
        <v>1.0</v>
      </c>
      <c r="AE10" s="117">
        <v>1.0</v>
      </c>
      <c r="AF10" s="117">
        <v>1.0</v>
      </c>
      <c r="AG10" s="117">
        <v>1.0</v>
      </c>
      <c r="AH10" s="117">
        <v>1.0</v>
      </c>
      <c r="AI10" s="115"/>
      <c r="AJ10" s="117"/>
      <c r="AK10" s="117"/>
      <c r="AL10" s="117">
        <v>1.0</v>
      </c>
      <c r="AM10" s="117">
        <v>1.0</v>
      </c>
      <c r="AN10" s="117"/>
      <c r="AO10" s="121"/>
      <c r="AP10" s="117">
        <v>1.0</v>
      </c>
      <c r="AQ10" s="117">
        <v>1.0</v>
      </c>
      <c r="AR10" s="117">
        <v>1.0</v>
      </c>
      <c r="AS10" s="117">
        <v>1.0</v>
      </c>
      <c r="AT10" s="117">
        <v>1.0</v>
      </c>
      <c r="AU10" s="117">
        <v>1.0</v>
      </c>
      <c r="AV10" s="121"/>
      <c r="AW10" s="115"/>
      <c r="AX10" s="117"/>
      <c r="AY10" s="117"/>
      <c r="AZ10" s="117"/>
      <c r="BA10" s="117"/>
      <c r="BB10" s="117"/>
      <c r="BC10" s="121"/>
      <c r="BD10" s="115"/>
      <c r="BE10" s="117"/>
      <c r="BF10" s="117"/>
      <c r="BG10" s="117"/>
      <c r="BH10" s="117"/>
      <c r="BI10" s="117"/>
      <c r="BJ10" s="121"/>
      <c r="BK10" s="115"/>
      <c r="BL10" s="117"/>
      <c r="BM10" s="117"/>
      <c r="BN10" s="117"/>
      <c r="BO10" s="117"/>
      <c r="BP10" s="117"/>
      <c r="BQ10" s="121"/>
    </row>
    <row r="11" ht="15.0" customHeight="1">
      <c r="A11" s="3" t="str">
        <f>'D2'!D10</f>
        <v>ESC.LID-0245</v>
      </c>
      <c r="B11" s="107">
        <f t="shared" si="2"/>
        <v>7</v>
      </c>
      <c r="C11" s="142" t="str">
        <f>'D2'!C10</f>
        <v>AUDI ESTELA SAHUANAY HUISACAYNA</v>
      </c>
      <c r="D11" s="109" t="str">
        <f>'D2'!F10</f>
        <v>LUCAS MELGAREJO, NELY</v>
      </c>
      <c r="E11" s="109" t="str">
        <f>'D2'!G10</f>
        <v>47715838</v>
      </c>
      <c r="F11" s="130">
        <v>32030.0</v>
      </c>
      <c r="G11" s="117">
        <v>1.0</v>
      </c>
      <c r="H11" s="117">
        <v>1.0</v>
      </c>
      <c r="I11" s="117">
        <v>1.0</v>
      </c>
      <c r="J11" s="117">
        <v>1.0</v>
      </c>
      <c r="K11" s="117">
        <v>1.0</v>
      </c>
      <c r="L11" s="117"/>
      <c r="M11" s="137"/>
      <c r="N11" s="115">
        <v>1.0</v>
      </c>
      <c r="O11" s="117">
        <v>1.0</v>
      </c>
      <c r="P11" s="117">
        <v>1.0</v>
      </c>
      <c r="Q11" s="117">
        <v>1.0</v>
      </c>
      <c r="R11" s="117">
        <v>1.0</v>
      </c>
      <c r="S11" s="117">
        <v>1.0</v>
      </c>
      <c r="T11" s="121">
        <v>1.0</v>
      </c>
      <c r="U11" s="115">
        <v>1.0</v>
      </c>
      <c r="V11" s="117">
        <v>1.0</v>
      </c>
      <c r="W11" s="117">
        <v>1.0</v>
      </c>
      <c r="X11" s="117"/>
      <c r="Y11" s="117"/>
      <c r="Z11" s="117"/>
      <c r="AA11" s="121"/>
      <c r="AB11" s="115"/>
      <c r="AC11" s="117"/>
      <c r="AD11" s="117"/>
      <c r="AE11" s="117"/>
      <c r="AF11" s="117"/>
      <c r="AG11" s="117"/>
      <c r="AH11" s="121"/>
      <c r="AI11" s="115"/>
      <c r="AJ11" s="117"/>
      <c r="AK11" s="117"/>
      <c r="AL11" s="117"/>
      <c r="AM11" s="117"/>
      <c r="AN11" s="117"/>
      <c r="AO11" s="121"/>
      <c r="AP11" s="115"/>
      <c r="AQ11" s="117"/>
      <c r="AR11" s="117"/>
      <c r="AS11" s="117"/>
      <c r="AT11" s="117"/>
      <c r="AU11" s="117"/>
      <c r="AV11" s="121"/>
      <c r="AW11" s="115"/>
      <c r="AX11" s="117"/>
      <c r="AY11" s="117"/>
      <c r="AZ11" s="117"/>
      <c r="BA11" s="117"/>
      <c r="BB11" s="117"/>
      <c r="BC11" s="121"/>
      <c r="BD11" s="115"/>
      <c r="BE11" s="117"/>
      <c r="BF11" s="117"/>
      <c r="BG11" s="117"/>
      <c r="BH11" s="117"/>
      <c r="BI11" s="117"/>
      <c r="BJ11" s="121"/>
      <c r="BK11" s="115"/>
      <c r="BL11" s="117"/>
      <c r="BM11" s="117"/>
      <c r="BN11" s="117"/>
      <c r="BO11" s="117"/>
      <c r="BP11" s="117"/>
      <c r="BQ11" s="121"/>
    </row>
    <row r="12" ht="15.0" customHeight="1">
      <c r="A12" s="3" t="str">
        <f>'D2'!D11</f>
        <v>ESC.LID-0247</v>
      </c>
      <c r="B12" s="107">
        <f t="shared" si="2"/>
        <v>8</v>
      </c>
      <c r="C12" s="133" t="str">
        <f>'D2'!C11</f>
        <v>AUDI ESTELA SAHUANAY HUISACAYNA</v>
      </c>
      <c r="D12" s="80" t="str">
        <f>'D2'!F11</f>
        <v>MARTELL BARRIOS, ZORAIDA</v>
      </c>
      <c r="E12" s="80" t="str">
        <f>'D2'!G11</f>
        <v>47773475</v>
      </c>
      <c r="F12" s="112">
        <v>34099.0</v>
      </c>
      <c r="G12" s="117">
        <v>1.0</v>
      </c>
      <c r="H12" s="117">
        <v>1.0</v>
      </c>
      <c r="I12" s="117">
        <v>1.0</v>
      </c>
      <c r="J12" s="117">
        <v>1.0</v>
      </c>
      <c r="K12" s="117">
        <v>1.0</v>
      </c>
      <c r="L12" s="117">
        <v>1.0</v>
      </c>
      <c r="M12" s="117">
        <v>1.0</v>
      </c>
      <c r="N12" s="117">
        <v>1.0</v>
      </c>
      <c r="O12" s="117">
        <v>1.0</v>
      </c>
      <c r="P12" s="117">
        <v>1.0</v>
      </c>
      <c r="Q12" s="117">
        <v>1.0</v>
      </c>
      <c r="R12" s="117">
        <v>1.0</v>
      </c>
      <c r="S12" s="117">
        <v>1.0</v>
      </c>
      <c r="T12" s="117">
        <v>1.0</v>
      </c>
      <c r="U12" s="117">
        <v>1.0</v>
      </c>
      <c r="V12" s="117">
        <v>1.0</v>
      </c>
      <c r="W12" s="117">
        <v>1.0</v>
      </c>
      <c r="X12" s="117">
        <v>1.0</v>
      </c>
      <c r="Y12" s="117">
        <v>1.0</v>
      </c>
      <c r="Z12" s="117">
        <v>1.0</v>
      </c>
      <c r="AA12" s="121">
        <v>1.0</v>
      </c>
      <c r="AB12" s="115">
        <v>1.0</v>
      </c>
      <c r="AC12" s="117">
        <v>1.0</v>
      </c>
      <c r="AD12" s="117">
        <v>1.0</v>
      </c>
      <c r="AE12" s="117">
        <v>1.0</v>
      </c>
      <c r="AF12" s="117">
        <v>1.0</v>
      </c>
      <c r="AG12" s="117">
        <v>1.0</v>
      </c>
      <c r="AH12" s="117">
        <v>1.0</v>
      </c>
      <c r="AI12" s="117">
        <v>1.0</v>
      </c>
      <c r="AJ12" s="117">
        <v>1.0</v>
      </c>
      <c r="AK12" s="117">
        <v>1.0</v>
      </c>
      <c r="AL12" s="117">
        <v>1.0</v>
      </c>
      <c r="AM12" s="117">
        <v>1.0</v>
      </c>
      <c r="AN12" s="117">
        <v>1.0</v>
      </c>
      <c r="AO12" s="2">
        <v>1.0</v>
      </c>
      <c r="AP12" s="2">
        <v>1.0</v>
      </c>
      <c r="AQ12" s="2">
        <v>1.0</v>
      </c>
      <c r="AR12" s="2">
        <v>1.0</v>
      </c>
      <c r="AS12" s="2">
        <v>1.0</v>
      </c>
      <c r="AT12" s="2">
        <v>1.0</v>
      </c>
      <c r="AU12" s="2">
        <v>1.0</v>
      </c>
      <c r="AV12" s="2">
        <v>1.0</v>
      </c>
      <c r="AW12" s="117">
        <v>1.0</v>
      </c>
      <c r="AX12" s="117">
        <v>1.0</v>
      </c>
      <c r="AY12" s="117">
        <v>1.0</v>
      </c>
      <c r="AZ12" s="117">
        <v>1.0</v>
      </c>
      <c r="BA12" s="117">
        <v>1.0</v>
      </c>
      <c r="BB12" s="117">
        <v>1.0</v>
      </c>
      <c r="BC12" s="117">
        <v>1.0</v>
      </c>
      <c r="BD12" s="117">
        <v>1.0</v>
      </c>
      <c r="BE12" s="117">
        <v>1.0</v>
      </c>
      <c r="BF12" s="117">
        <v>1.0</v>
      </c>
      <c r="BG12" s="117">
        <v>1.0</v>
      </c>
      <c r="BH12" s="117">
        <v>1.0</v>
      </c>
      <c r="BI12" s="2">
        <v>1.0</v>
      </c>
      <c r="BJ12" s="2">
        <v>1.0</v>
      </c>
      <c r="BK12" s="2">
        <v>1.0</v>
      </c>
      <c r="BL12" s="2">
        <v>1.0</v>
      </c>
      <c r="BM12" s="2">
        <v>1.0</v>
      </c>
      <c r="BN12" s="2">
        <v>1.0</v>
      </c>
      <c r="BO12" s="10"/>
      <c r="BP12" s="10"/>
      <c r="BQ12" s="121"/>
    </row>
    <row r="13" ht="15.0" customHeight="1">
      <c r="A13" s="3" t="str">
        <f>'D2'!D12</f>
        <v>ESC.LID-0252</v>
      </c>
      <c r="B13" s="107">
        <f t="shared" si="2"/>
        <v>9</v>
      </c>
      <c r="C13" s="133" t="str">
        <f>'D2'!C12</f>
        <v>AUDI ESTELA SAHUANAY HUISACAYNA</v>
      </c>
      <c r="D13" s="80" t="str">
        <f>'D2'!F12</f>
        <v>ORTIZ GARCIA, ANTHONY</v>
      </c>
      <c r="E13" s="80" t="str">
        <f>'D2'!G12</f>
        <v>72192544</v>
      </c>
      <c r="F13" s="112">
        <v>34964.0</v>
      </c>
      <c r="G13" s="115">
        <v>1.0</v>
      </c>
      <c r="H13" s="117"/>
      <c r="I13" s="134"/>
      <c r="J13" s="134"/>
      <c r="K13" s="134"/>
      <c r="L13" s="135"/>
      <c r="M13" s="137"/>
      <c r="N13" s="115"/>
      <c r="O13" s="117"/>
      <c r="P13" s="117"/>
      <c r="Q13" s="117"/>
      <c r="R13" s="117"/>
      <c r="S13" s="117"/>
      <c r="T13" s="121">
        <v>1.0</v>
      </c>
      <c r="U13" s="115"/>
      <c r="V13" s="117"/>
      <c r="W13" s="117"/>
      <c r="X13" s="117"/>
      <c r="Y13" s="117"/>
      <c r="Z13" s="117"/>
      <c r="AA13" s="121"/>
      <c r="AB13" s="115"/>
      <c r="AC13" s="117"/>
      <c r="AD13" s="117"/>
      <c r="AE13" s="117"/>
      <c r="AF13" s="117"/>
      <c r="AG13" s="117"/>
      <c r="AH13" s="121"/>
      <c r="AI13" s="115"/>
      <c r="AJ13" s="117"/>
      <c r="AK13" s="117"/>
      <c r="AL13" s="117"/>
      <c r="AM13" s="117"/>
      <c r="AN13" s="117"/>
      <c r="AO13" s="121"/>
      <c r="AP13" s="115"/>
      <c r="AQ13" s="117"/>
      <c r="AR13" s="117"/>
      <c r="AS13" s="117"/>
      <c r="AT13" s="117"/>
      <c r="AU13" s="117"/>
      <c r="AV13" s="121"/>
      <c r="AW13" s="115"/>
      <c r="AX13" s="117"/>
      <c r="AY13" s="117"/>
      <c r="AZ13" s="117"/>
      <c r="BA13" s="117"/>
      <c r="BB13" s="117"/>
      <c r="BC13" s="121"/>
      <c r="BD13" s="115"/>
      <c r="BE13" s="117"/>
      <c r="BF13" s="117"/>
      <c r="BG13" s="117"/>
      <c r="BH13" s="117"/>
      <c r="BI13" s="117"/>
      <c r="BJ13" s="121"/>
      <c r="BK13" s="115"/>
      <c r="BL13" s="117"/>
      <c r="BM13" s="117"/>
      <c r="BN13" s="117"/>
      <c r="BO13" s="117"/>
      <c r="BP13" s="117"/>
      <c r="BQ13" s="121"/>
    </row>
    <row r="14" ht="15.0" customHeight="1">
      <c r="A14" s="3" t="str">
        <f>'D2'!D13</f>
        <v>ESC.LID-0259</v>
      </c>
      <c r="B14" s="107">
        <f t="shared" si="2"/>
        <v>10</v>
      </c>
      <c r="C14" s="133" t="str">
        <f>'D2'!C13</f>
        <v>AUDI ESTELA SAHUANAY HUISACAYNA</v>
      </c>
      <c r="D14" s="80" t="str">
        <f>'D2'!F13</f>
        <v>PEREYRA CANCHES, EDGAR DANNY</v>
      </c>
      <c r="E14" s="80" t="str">
        <f>'D2'!G13</f>
        <v>45715957</v>
      </c>
      <c r="F14" s="112">
        <v>32591.0</v>
      </c>
      <c r="G14" s="115"/>
      <c r="H14" s="117"/>
      <c r="I14" s="134"/>
      <c r="J14" s="134"/>
      <c r="K14" s="134"/>
      <c r="L14" s="135"/>
      <c r="M14" s="137"/>
      <c r="N14" s="115"/>
      <c r="O14" s="117"/>
      <c r="P14" s="117"/>
      <c r="Q14" s="117"/>
      <c r="R14" s="117"/>
      <c r="S14" s="117"/>
      <c r="T14" s="121"/>
      <c r="U14" s="115"/>
      <c r="V14" s="117"/>
      <c r="W14" s="117"/>
      <c r="X14" s="117"/>
      <c r="Y14" s="117"/>
      <c r="Z14" s="117"/>
      <c r="AA14" s="121"/>
      <c r="AB14" s="115"/>
      <c r="AC14" s="117"/>
      <c r="AD14" s="117"/>
      <c r="AE14" s="117"/>
      <c r="AF14" s="117"/>
      <c r="AG14" s="117"/>
      <c r="AH14" s="121"/>
      <c r="AI14" s="115"/>
      <c r="AJ14" s="117"/>
      <c r="AK14" s="117"/>
      <c r="AL14" s="117"/>
      <c r="AM14" s="117"/>
      <c r="AN14" s="117"/>
      <c r="AO14" s="121"/>
      <c r="AP14" s="115"/>
      <c r="AQ14" s="117"/>
      <c r="AR14" s="117"/>
      <c r="AS14" s="117"/>
      <c r="AT14" s="117"/>
      <c r="AU14" s="117"/>
      <c r="AV14" s="121"/>
      <c r="AW14" s="115"/>
      <c r="AX14" s="117"/>
      <c r="AY14" s="117"/>
      <c r="AZ14" s="117"/>
      <c r="BA14" s="117"/>
      <c r="BB14" s="117"/>
      <c r="BC14" s="121"/>
      <c r="BD14" s="115"/>
      <c r="BE14" s="117"/>
      <c r="BF14" s="117"/>
      <c r="BG14" s="117"/>
      <c r="BH14" s="117"/>
      <c r="BI14" s="117"/>
      <c r="BJ14" s="121"/>
      <c r="BK14" s="115"/>
      <c r="BL14" s="117"/>
      <c r="BM14" s="117"/>
      <c r="BN14" s="117"/>
      <c r="BO14" s="117"/>
      <c r="BP14" s="117"/>
      <c r="BQ14" s="121"/>
    </row>
    <row r="15" ht="15.0" customHeight="1">
      <c r="A15" s="3" t="str">
        <f>'D2'!D14</f>
        <v>ESC.LID-0266</v>
      </c>
      <c r="B15" s="107">
        <f t="shared" si="2"/>
        <v>11</v>
      </c>
      <c r="C15" s="80" t="str">
        <f>'D2'!C14</f>
        <v>AUDI ESTELA SAHUANAY HUISACAYNA</v>
      </c>
      <c r="D15" s="80" t="str">
        <f>'D2'!F14</f>
        <v>RAMOS ROJAS, SOCORRO</v>
      </c>
      <c r="E15" s="80" t="str">
        <f>'D2'!G14</f>
        <v>09334182</v>
      </c>
      <c r="F15" s="112" t="str">
        <f>'D2'!I14</f>
        <v/>
      </c>
      <c r="G15" s="115"/>
      <c r="H15" s="117"/>
      <c r="I15" s="134"/>
      <c r="J15" s="134"/>
      <c r="K15" s="134"/>
      <c r="L15" s="135"/>
      <c r="M15" s="137"/>
      <c r="N15" s="115"/>
      <c r="O15" s="117"/>
      <c r="P15" s="117"/>
      <c r="Q15" s="117"/>
      <c r="R15" s="117"/>
      <c r="S15" s="117"/>
      <c r="T15" s="121"/>
      <c r="U15" s="115"/>
      <c r="V15" s="117"/>
      <c r="W15" s="117"/>
      <c r="X15" s="117"/>
      <c r="Y15" s="117"/>
      <c r="Z15" s="117"/>
      <c r="AA15" s="121"/>
      <c r="AB15" s="115"/>
      <c r="AC15" s="117"/>
      <c r="AD15" s="117"/>
      <c r="AE15" s="117"/>
      <c r="AF15" s="117"/>
      <c r="AG15" s="117"/>
      <c r="AH15" s="121"/>
      <c r="AI15" s="115"/>
      <c r="AJ15" s="117"/>
      <c r="AK15" s="117"/>
      <c r="AL15" s="117"/>
      <c r="AM15" s="117"/>
      <c r="AN15" s="117"/>
      <c r="AO15" s="121"/>
      <c r="AP15" s="115"/>
      <c r="AQ15" s="117"/>
      <c r="AR15" s="117"/>
      <c r="AS15" s="117"/>
      <c r="AT15" s="117"/>
      <c r="AU15" s="117"/>
      <c r="AV15" s="121"/>
      <c r="AW15" s="115"/>
      <c r="AX15" s="117"/>
      <c r="AY15" s="117"/>
      <c r="AZ15" s="117"/>
      <c r="BA15" s="117"/>
      <c r="BB15" s="117"/>
      <c r="BC15" s="121"/>
      <c r="BD15" s="115"/>
      <c r="BE15" s="117"/>
      <c r="BF15" s="117"/>
      <c r="BG15" s="117"/>
      <c r="BH15" s="117"/>
      <c r="BI15" s="117"/>
      <c r="BJ15" s="121"/>
      <c r="BK15" s="115"/>
      <c r="BL15" s="117"/>
      <c r="BM15" s="117"/>
      <c r="BN15" s="117"/>
      <c r="BO15" s="117"/>
      <c r="BP15" s="117"/>
      <c r="BQ15" s="121"/>
    </row>
    <row r="16" ht="15.0" customHeight="1">
      <c r="A16" s="3" t="str">
        <f>'D2'!D15</f>
        <v>ESC.LID-0268</v>
      </c>
      <c r="B16" s="107">
        <f t="shared" si="2"/>
        <v>12</v>
      </c>
      <c r="C16" s="109" t="str">
        <f>'D2'!C15</f>
        <v>AUDI ESTELA SAHUANAY HUISACAYNA</v>
      </c>
      <c r="D16" s="109" t="str">
        <f>'D2'!F15</f>
        <v>REYES RUIZ, MARIBEL MERCEDES</v>
      </c>
      <c r="E16" s="109" t="str">
        <f>'D2'!G15</f>
        <v>07245185</v>
      </c>
      <c r="F16" s="138">
        <v>28247.0</v>
      </c>
      <c r="G16" s="115">
        <v>1.0</v>
      </c>
      <c r="H16" s="117">
        <v>1.0</v>
      </c>
      <c r="I16" s="117">
        <v>1.0</v>
      </c>
      <c r="J16" s="115">
        <v>1.0</v>
      </c>
      <c r="K16" s="117">
        <v>1.0</v>
      </c>
      <c r="L16" s="117">
        <v>1.0</v>
      </c>
      <c r="M16" s="117">
        <v>1.0</v>
      </c>
      <c r="N16" s="117">
        <v>1.0</v>
      </c>
      <c r="O16" s="117">
        <v>1.0</v>
      </c>
      <c r="P16" s="115">
        <v>1.0</v>
      </c>
      <c r="Q16" s="117">
        <v>1.0</v>
      </c>
      <c r="R16" s="117">
        <v>1.0</v>
      </c>
      <c r="S16" s="115">
        <v>1.0</v>
      </c>
      <c r="T16" s="117">
        <v>1.0</v>
      </c>
      <c r="U16" s="117">
        <v>1.0</v>
      </c>
      <c r="V16" s="117">
        <v>1.0</v>
      </c>
      <c r="W16" s="117">
        <v>1.0</v>
      </c>
      <c r="X16" s="117">
        <v>1.0</v>
      </c>
      <c r="Y16" s="117">
        <v>1.0</v>
      </c>
      <c r="Z16" s="117">
        <v>1.0</v>
      </c>
      <c r="AA16" s="121">
        <v>1.0</v>
      </c>
      <c r="AB16" s="115">
        <v>1.0</v>
      </c>
      <c r="AC16" s="117">
        <v>1.0</v>
      </c>
      <c r="AD16" s="117">
        <v>1.0</v>
      </c>
      <c r="AE16" s="117">
        <v>1.0</v>
      </c>
      <c r="AF16" s="117">
        <v>1.0</v>
      </c>
      <c r="AG16" s="117">
        <v>1.0</v>
      </c>
      <c r="AH16" s="117">
        <v>1.0</v>
      </c>
      <c r="AI16" s="117">
        <v>1.0</v>
      </c>
      <c r="AJ16" s="117">
        <v>1.0</v>
      </c>
      <c r="AK16" s="117">
        <v>1.0</v>
      </c>
      <c r="AL16" s="117">
        <v>1.0</v>
      </c>
      <c r="AM16" s="117">
        <v>1.0</v>
      </c>
      <c r="AN16" s="117">
        <v>1.0</v>
      </c>
      <c r="AO16" s="117">
        <v>1.0</v>
      </c>
      <c r="AP16" s="117">
        <v>1.0</v>
      </c>
      <c r="AQ16" s="117">
        <v>1.0</v>
      </c>
      <c r="AR16" s="117">
        <v>1.0</v>
      </c>
      <c r="AS16" s="117">
        <v>1.0</v>
      </c>
      <c r="AT16" s="117">
        <v>1.0</v>
      </c>
      <c r="AU16" s="117">
        <v>1.0</v>
      </c>
      <c r="AV16" s="117">
        <v>1.0</v>
      </c>
      <c r="AW16" s="117">
        <v>1.0</v>
      </c>
      <c r="AX16" s="117">
        <v>1.0</v>
      </c>
      <c r="AY16" s="117">
        <v>1.0</v>
      </c>
      <c r="AZ16" s="117">
        <v>1.0</v>
      </c>
      <c r="BA16" s="117">
        <v>1.0</v>
      </c>
      <c r="BB16" s="117">
        <v>1.0</v>
      </c>
      <c r="BC16" s="117">
        <v>1.0</v>
      </c>
      <c r="BD16" s="117">
        <v>1.0</v>
      </c>
      <c r="BE16" s="117">
        <v>1.0</v>
      </c>
      <c r="BF16" s="117">
        <v>1.0</v>
      </c>
      <c r="BG16" s="117">
        <v>1.0</v>
      </c>
      <c r="BH16" s="117">
        <v>1.0</v>
      </c>
      <c r="BI16" s="117">
        <v>1.0</v>
      </c>
      <c r="BJ16" s="117">
        <v>1.0</v>
      </c>
      <c r="BK16" s="117">
        <v>1.0</v>
      </c>
      <c r="BL16" s="117">
        <v>1.0</v>
      </c>
      <c r="BM16" s="117">
        <v>1.0</v>
      </c>
      <c r="BN16" s="117">
        <v>1.0</v>
      </c>
      <c r="BO16" s="117"/>
      <c r="BP16" s="117"/>
      <c r="BQ16" s="121"/>
    </row>
    <row r="17" ht="15.0" customHeight="1">
      <c r="A17" s="3" t="str">
        <f>'D2'!D16</f>
        <v>ESC.LID-0271</v>
      </c>
      <c r="B17" s="107">
        <f t="shared" si="2"/>
        <v>13</v>
      </c>
      <c r="C17" s="80" t="str">
        <f>'D2'!C16</f>
        <v>AUDI ESTELA SAHUANAY HUISACAYNA</v>
      </c>
      <c r="D17" s="80" t="str">
        <f>'D2'!F16</f>
        <v>RIVAS  ALVAREZ, CARMEN </v>
      </c>
      <c r="E17" s="80" t="str">
        <f>'D2'!G16</f>
        <v>10214646</v>
      </c>
      <c r="F17" s="112">
        <f>'D2'!I16</f>
        <v>27508</v>
      </c>
      <c r="G17" s="115"/>
      <c r="H17" s="117"/>
      <c r="I17" s="134"/>
      <c r="J17" s="134"/>
      <c r="K17" s="134"/>
      <c r="L17" s="135"/>
      <c r="M17" s="137"/>
      <c r="N17" s="115"/>
      <c r="O17" s="117"/>
      <c r="P17" s="117"/>
      <c r="Q17" s="117"/>
      <c r="R17" s="117"/>
      <c r="S17" s="117"/>
      <c r="T17" s="121"/>
      <c r="U17" s="115"/>
      <c r="V17" s="117"/>
      <c r="W17" s="117"/>
      <c r="X17" s="117"/>
      <c r="Y17" s="117"/>
      <c r="Z17" s="117"/>
      <c r="AA17" s="121"/>
      <c r="AB17" s="115"/>
      <c r="AC17" s="117"/>
      <c r="AD17" s="117"/>
      <c r="AE17" s="117"/>
      <c r="AF17" s="117"/>
      <c r="AG17" s="117"/>
      <c r="AH17" s="121"/>
      <c r="AI17" s="115"/>
      <c r="AJ17" s="117"/>
      <c r="AK17" s="117"/>
      <c r="AL17" s="117"/>
      <c r="AM17" s="117"/>
      <c r="AN17" s="117"/>
      <c r="AO17" s="121"/>
      <c r="AP17" s="115"/>
      <c r="AQ17" s="117"/>
      <c r="AR17" s="117"/>
      <c r="AS17" s="117"/>
      <c r="AT17" s="117"/>
      <c r="AU17" s="117"/>
      <c r="AV17" s="121"/>
      <c r="AW17" s="115"/>
      <c r="AX17" s="117"/>
      <c r="AY17" s="117"/>
      <c r="AZ17" s="117"/>
      <c r="BA17" s="117"/>
      <c r="BB17" s="117"/>
      <c r="BC17" s="121"/>
      <c r="BD17" s="115"/>
      <c r="BE17" s="117"/>
      <c r="BF17" s="117"/>
      <c r="BG17" s="117"/>
      <c r="BH17" s="117"/>
      <c r="BI17" s="117"/>
      <c r="BJ17" s="121"/>
      <c r="BK17" s="115"/>
      <c r="BL17" s="117"/>
      <c r="BM17" s="117"/>
      <c r="BN17" s="117"/>
      <c r="BO17" s="117"/>
      <c r="BP17" s="117"/>
      <c r="BQ17" s="121"/>
    </row>
    <row r="18" ht="15.0" customHeight="1">
      <c r="A18" s="3" t="str">
        <f>'D2'!D17</f>
        <v>ESC.LID-0274</v>
      </c>
      <c r="B18" s="107">
        <f t="shared" si="2"/>
        <v>14</v>
      </c>
      <c r="C18" s="109" t="str">
        <f>'D2'!C17</f>
        <v>AUDI ESTELA SAHUANAY HUISACAYNA</v>
      </c>
      <c r="D18" s="109" t="str">
        <f>'D2'!F17</f>
        <v>ROJAS MORALES, GIANELLA</v>
      </c>
      <c r="E18" s="109" t="str">
        <f>'D2'!G17</f>
        <v>74971204</v>
      </c>
      <c r="F18" s="112">
        <f>'D2'!I17</f>
        <v>36820</v>
      </c>
      <c r="G18" s="115"/>
      <c r="H18" s="117"/>
      <c r="I18" s="134"/>
      <c r="J18" s="134"/>
      <c r="K18" s="134"/>
      <c r="L18" s="135"/>
      <c r="M18" s="137"/>
      <c r="N18" s="115"/>
      <c r="O18" s="117"/>
      <c r="P18" s="117"/>
      <c r="Q18" s="117"/>
      <c r="R18" s="117"/>
      <c r="S18" s="117"/>
      <c r="T18" s="121"/>
      <c r="U18" s="115"/>
      <c r="V18" s="117"/>
      <c r="W18" s="117"/>
      <c r="X18" s="117"/>
      <c r="Y18" s="117"/>
      <c r="Z18" s="117"/>
      <c r="AA18" s="121"/>
      <c r="AB18" s="115">
        <v>1.0</v>
      </c>
      <c r="AC18" s="117"/>
      <c r="AD18" s="117"/>
      <c r="AE18" s="117"/>
      <c r="AF18" s="117"/>
      <c r="AG18" s="117"/>
      <c r="AH18" s="121"/>
      <c r="AI18" s="115"/>
      <c r="AJ18" s="117"/>
      <c r="AK18" s="117"/>
      <c r="AL18" s="117"/>
      <c r="AM18" s="117"/>
      <c r="AN18" s="117"/>
      <c r="AO18" s="121"/>
      <c r="AP18" s="115"/>
      <c r="AQ18" s="117"/>
      <c r="AR18" s="117"/>
      <c r="AS18" s="117"/>
      <c r="AT18" s="117"/>
      <c r="AU18" s="117"/>
      <c r="AV18" s="121"/>
      <c r="AW18" s="115"/>
      <c r="AX18" s="117"/>
      <c r="AY18" s="117"/>
      <c r="AZ18" s="117"/>
      <c r="BA18" s="117"/>
      <c r="BB18" s="117"/>
      <c r="BC18" s="121"/>
      <c r="BD18" s="115"/>
      <c r="BE18" s="117"/>
      <c r="BF18" s="117"/>
      <c r="BG18" s="117"/>
      <c r="BH18" s="117"/>
      <c r="BI18" s="117"/>
      <c r="BJ18" s="121"/>
      <c r="BK18" s="115"/>
      <c r="BL18" s="117"/>
      <c r="BM18" s="117"/>
      <c r="BN18" s="117"/>
      <c r="BO18" s="117"/>
      <c r="BP18" s="117"/>
      <c r="BQ18" s="121"/>
    </row>
    <row r="19" ht="15.0" customHeight="1">
      <c r="A19" s="3" t="str">
        <f>'D2'!D18</f>
        <v>ESC.LID-0278</v>
      </c>
      <c r="B19" s="107">
        <f t="shared" si="2"/>
        <v>15</v>
      </c>
      <c r="C19" s="80" t="str">
        <f>'D2'!C18</f>
        <v>AUDI ESTELA SAHUANAY HUISACAYNA</v>
      </c>
      <c r="D19" s="80" t="str">
        <f>'D2'!F18</f>
        <v>SAGASTEGUI ORIHUELA, ALAN ALBERTO </v>
      </c>
      <c r="E19" s="80" t="str">
        <f>'D2'!G18</f>
        <v>46373531</v>
      </c>
      <c r="F19" s="138">
        <f>'D2'!I18</f>
        <v>33047</v>
      </c>
      <c r="G19" s="115"/>
      <c r="H19" s="117"/>
      <c r="I19" s="134"/>
      <c r="J19" s="134"/>
      <c r="K19" s="134"/>
      <c r="L19" s="135"/>
      <c r="M19" s="137"/>
      <c r="N19" s="115"/>
      <c r="O19" s="117"/>
      <c r="P19" s="117"/>
      <c r="Q19" s="117"/>
      <c r="R19" s="117"/>
      <c r="S19" s="117"/>
      <c r="T19" s="121"/>
      <c r="U19" s="115"/>
      <c r="V19" s="117"/>
      <c r="W19" s="117"/>
      <c r="X19" s="117"/>
      <c r="Y19" s="117"/>
      <c r="Z19" s="117"/>
      <c r="AA19" s="121"/>
      <c r="AB19" s="115"/>
      <c r="AC19" s="117"/>
      <c r="AD19" s="117"/>
      <c r="AE19" s="117"/>
      <c r="AF19" s="117"/>
      <c r="AG19" s="117"/>
      <c r="AH19" s="121"/>
      <c r="AI19" s="115"/>
      <c r="AJ19" s="117"/>
      <c r="AK19" s="117"/>
      <c r="AL19" s="117"/>
      <c r="AM19" s="117"/>
      <c r="AN19" s="117"/>
      <c r="AO19" s="121"/>
      <c r="AP19" s="115"/>
      <c r="AQ19" s="117"/>
      <c r="AR19" s="117"/>
      <c r="AS19" s="117"/>
      <c r="AT19" s="117"/>
      <c r="AU19" s="117"/>
      <c r="AV19" s="121"/>
      <c r="AW19" s="115"/>
      <c r="AX19" s="117"/>
      <c r="AY19" s="117"/>
      <c r="AZ19" s="117"/>
      <c r="BA19" s="117"/>
      <c r="BB19" s="117"/>
      <c r="BC19" s="121"/>
      <c r="BD19" s="115"/>
      <c r="BE19" s="117"/>
      <c r="BF19" s="117"/>
      <c r="BG19" s="117"/>
      <c r="BH19" s="117"/>
      <c r="BI19" s="117"/>
      <c r="BJ19" s="121"/>
      <c r="BK19" s="115"/>
      <c r="BL19" s="117"/>
      <c r="BM19" s="117"/>
      <c r="BN19" s="117"/>
      <c r="BO19" s="117"/>
      <c r="BP19" s="117"/>
      <c r="BQ19" s="121"/>
    </row>
    <row r="20" ht="15.0" customHeight="1">
      <c r="A20" s="3" t="str">
        <f>'D2'!D19</f>
        <v>ESC.LID-0283</v>
      </c>
      <c r="B20" s="107">
        <f t="shared" si="2"/>
        <v>16</v>
      </c>
      <c r="C20" s="80" t="str">
        <f>'D2'!C19</f>
        <v>AUDI ESTELA SAHUANAY HUISACAYNA</v>
      </c>
      <c r="D20" s="80" t="str">
        <f>'D2'!F19</f>
        <v>SULCA RODRIGUEZ, DIEGO ARMANDO</v>
      </c>
      <c r="E20" s="80" t="str">
        <f>'D2'!G19</f>
        <v>46258796</v>
      </c>
      <c r="F20" s="112">
        <f>'D2'!I19</f>
        <v>32907</v>
      </c>
      <c r="G20" s="115"/>
      <c r="H20" s="117"/>
      <c r="I20" s="134"/>
      <c r="J20" s="134"/>
      <c r="K20" s="134"/>
      <c r="L20" s="135"/>
      <c r="M20" s="137"/>
      <c r="N20" s="115"/>
      <c r="O20" s="117"/>
      <c r="P20" s="117"/>
      <c r="Q20" s="117"/>
      <c r="R20" s="117"/>
      <c r="S20" s="117"/>
      <c r="T20" s="121"/>
      <c r="U20" s="115"/>
      <c r="V20" s="117"/>
      <c r="W20" s="117"/>
      <c r="X20" s="117"/>
      <c r="Y20" s="117"/>
      <c r="Z20" s="117"/>
      <c r="AA20" s="121"/>
      <c r="AB20" s="115"/>
      <c r="AC20" s="117"/>
      <c r="AD20" s="117"/>
      <c r="AE20" s="117"/>
      <c r="AF20" s="117"/>
      <c r="AG20" s="117"/>
      <c r="AH20" s="121"/>
      <c r="AI20" s="115"/>
      <c r="AJ20" s="117"/>
      <c r="AK20" s="117"/>
      <c r="AL20" s="117"/>
      <c r="AM20" s="117"/>
      <c r="AN20" s="117"/>
      <c r="AO20" s="121"/>
      <c r="AP20" s="115"/>
      <c r="AQ20" s="117"/>
      <c r="AR20" s="117"/>
      <c r="AS20" s="117"/>
      <c r="AT20" s="117"/>
      <c r="AU20" s="117"/>
      <c r="AV20" s="121"/>
      <c r="AW20" s="115"/>
      <c r="AX20" s="117"/>
      <c r="AY20" s="117"/>
      <c r="AZ20" s="117"/>
      <c r="BA20" s="117"/>
      <c r="BB20" s="117"/>
      <c r="BC20" s="121"/>
      <c r="BD20" s="115"/>
      <c r="BE20" s="117"/>
      <c r="BF20" s="117"/>
      <c r="BG20" s="117"/>
      <c r="BH20" s="117"/>
      <c r="BI20" s="117"/>
      <c r="BJ20" s="121"/>
      <c r="BK20" s="115"/>
      <c r="BL20" s="117"/>
      <c r="BM20" s="117"/>
      <c r="BN20" s="117"/>
      <c r="BO20" s="117"/>
      <c r="BP20" s="117"/>
      <c r="BQ20" s="121"/>
    </row>
    <row r="21" ht="15.0" customHeight="1">
      <c r="A21" s="3" t="str">
        <f>'D2'!D20</f>
        <v>ESC.LID-1450</v>
      </c>
      <c r="B21" s="107">
        <f t="shared" si="2"/>
        <v>17</v>
      </c>
      <c r="C21" s="80" t="str">
        <f>'D2'!C20</f>
        <v>AUDI ESTELA SAHUANAY HUISACAYNA</v>
      </c>
      <c r="D21" s="80" t="str">
        <f>'D2'!F20</f>
        <v>JORIS ONSIA, MAARTEN</v>
      </c>
      <c r="E21" s="80" t="str">
        <f>'D2'!G20</f>
        <v>04045579</v>
      </c>
      <c r="F21" s="138">
        <v>30092.0</v>
      </c>
      <c r="G21" s="115"/>
      <c r="H21" s="117"/>
      <c r="I21" s="134"/>
      <c r="J21" s="134"/>
      <c r="K21" s="134"/>
      <c r="L21" s="135"/>
      <c r="M21" s="137"/>
      <c r="N21" s="115"/>
      <c r="O21" s="117"/>
      <c r="P21" s="117"/>
      <c r="Q21" s="117"/>
      <c r="R21" s="117"/>
      <c r="S21" s="117"/>
      <c r="T21" s="121"/>
      <c r="U21" s="115"/>
      <c r="V21" s="117"/>
      <c r="W21" s="117"/>
      <c r="X21" s="117">
        <v>1.0</v>
      </c>
      <c r="Y21" s="117">
        <v>1.0</v>
      </c>
      <c r="Z21" s="117">
        <v>1.0</v>
      </c>
      <c r="AA21" s="121"/>
      <c r="AB21" s="115">
        <v>1.0</v>
      </c>
      <c r="AC21" s="117">
        <v>1.0</v>
      </c>
      <c r="AD21" s="117">
        <v>1.0</v>
      </c>
      <c r="AE21" s="117">
        <v>1.0</v>
      </c>
      <c r="AF21" s="117">
        <v>1.0</v>
      </c>
      <c r="AG21" s="117">
        <v>1.0</v>
      </c>
      <c r="AH21" s="117">
        <v>1.0</v>
      </c>
      <c r="AI21" s="117">
        <v>1.0</v>
      </c>
      <c r="AJ21" s="117">
        <v>1.0</v>
      </c>
      <c r="AK21" s="117">
        <v>1.0</v>
      </c>
      <c r="AL21" s="117">
        <v>1.0</v>
      </c>
      <c r="AM21" s="117">
        <v>1.0</v>
      </c>
      <c r="AN21" s="117">
        <v>1.0</v>
      </c>
      <c r="AO21" s="117">
        <v>1.0</v>
      </c>
      <c r="AP21" s="117">
        <v>1.0</v>
      </c>
      <c r="AQ21" s="117">
        <v>1.0</v>
      </c>
      <c r="AR21" s="117">
        <v>1.0</v>
      </c>
      <c r="AS21" s="117">
        <v>1.0</v>
      </c>
      <c r="AT21" s="117">
        <v>1.0</v>
      </c>
      <c r="AU21" s="117">
        <v>1.0</v>
      </c>
      <c r="AV21" s="117">
        <v>1.0</v>
      </c>
      <c r="AW21" s="117">
        <v>1.0</v>
      </c>
      <c r="AX21" s="117">
        <v>1.0</v>
      </c>
      <c r="AY21" s="117">
        <v>1.0</v>
      </c>
      <c r="AZ21" s="117">
        <v>1.0</v>
      </c>
      <c r="BA21" s="117">
        <v>1.0</v>
      </c>
      <c r="BB21" s="117">
        <v>1.0</v>
      </c>
      <c r="BC21" s="117">
        <v>1.0</v>
      </c>
      <c r="BD21" s="117">
        <v>1.0</v>
      </c>
      <c r="BE21" s="117">
        <v>1.0</v>
      </c>
      <c r="BF21" s="117">
        <v>1.0</v>
      </c>
      <c r="BG21" s="117">
        <v>1.0</v>
      </c>
      <c r="BH21" s="117">
        <v>1.0</v>
      </c>
      <c r="BI21" s="117">
        <v>1.0</v>
      </c>
      <c r="BJ21" s="117">
        <v>1.0</v>
      </c>
      <c r="BK21" s="115">
        <v>1.0</v>
      </c>
      <c r="BL21" s="117">
        <v>1.0</v>
      </c>
      <c r="BM21" s="117">
        <v>1.0</v>
      </c>
      <c r="BN21" s="117">
        <v>1.0</v>
      </c>
      <c r="BO21" s="117"/>
      <c r="BP21" s="117"/>
      <c r="BQ21" s="121"/>
    </row>
    <row r="22" ht="15.0" customHeight="1">
      <c r="A22" s="3" t="str">
        <f>'D2'!D21</f>
        <v>ESC.LID-1499</v>
      </c>
      <c r="B22" s="107">
        <f t="shared" si="2"/>
        <v>18</v>
      </c>
      <c r="C22" s="80" t="str">
        <f>'D2'!C21</f>
        <v>AUDI ESTELA SAHUANAY HUISACAYNA</v>
      </c>
      <c r="D22" s="80" t="str">
        <f>'D2'!F21</f>
        <v>SANCHEZ PEREZ, PAMELA ISABEL</v>
      </c>
      <c r="E22" s="80" t="str">
        <f>'D2'!G21</f>
        <v>72759143</v>
      </c>
      <c r="F22" s="112" t="str">
        <f>'D2'!I21</f>
        <v/>
      </c>
      <c r="G22" s="115"/>
      <c r="H22" s="117"/>
      <c r="I22" s="134"/>
      <c r="J22" s="134"/>
      <c r="K22" s="134"/>
      <c r="L22" s="135"/>
      <c r="M22" s="137"/>
      <c r="N22" s="115"/>
      <c r="O22" s="117"/>
      <c r="P22" s="117"/>
      <c r="Q22" s="117"/>
      <c r="R22" s="117"/>
      <c r="S22" s="117"/>
      <c r="T22" s="121"/>
      <c r="U22" s="115"/>
      <c r="V22" s="117"/>
      <c r="W22" s="117"/>
      <c r="X22" s="117"/>
      <c r="Y22" s="117"/>
      <c r="Z22" s="117"/>
      <c r="AA22" s="121"/>
      <c r="AB22" s="115">
        <v>1.0</v>
      </c>
      <c r="AC22" s="117">
        <v>1.0</v>
      </c>
      <c r="AD22" s="117">
        <v>1.0</v>
      </c>
      <c r="AE22" s="117">
        <v>1.0</v>
      </c>
      <c r="AF22" s="117">
        <v>1.0</v>
      </c>
      <c r="AG22" s="117">
        <v>1.0</v>
      </c>
      <c r="AH22" s="121"/>
      <c r="AI22" s="115"/>
      <c r="AJ22" s="117"/>
      <c r="AK22" s="117"/>
      <c r="AL22" s="117"/>
      <c r="AM22" s="117"/>
      <c r="AN22" s="117"/>
      <c r="AO22" s="121"/>
      <c r="AP22" s="115"/>
      <c r="AQ22" s="117"/>
      <c r="AR22" s="117"/>
      <c r="AS22" s="117"/>
      <c r="AT22" s="117"/>
      <c r="AU22" s="117"/>
      <c r="AV22" s="121"/>
      <c r="AW22" s="115"/>
      <c r="AX22" s="117"/>
      <c r="AY22" s="117"/>
      <c r="AZ22" s="117"/>
      <c r="BA22" s="117"/>
      <c r="BB22" s="117"/>
      <c r="BC22" s="121"/>
      <c r="BD22" s="115"/>
      <c r="BE22" s="117"/>
      <c r="BF22" s="117"/>
      <c r="BG22" s="117"/>
      <c r="BH22" s="117"/>
      <c r="BI22" s="117"/>
      <c r="BJ22" s="121"/>
      <c r="BK22" s="115"/>
      <c r="BL22" s="117"/>
      <c r="BM22" s="117"/>
      <c r="BN22" s="117"/>
      <c r="BO22" s="117"/>
      <c r="BP22" s="117"/>
      <c r="BQ22" s="121"/>
    </row>
    <row r="23" ht="15.0" customHeight="1">
      <c r="A23" s="3" t="str">
        <f>'D2'!D22</f>
        <v>ESC.LID-1504</v>
      </c>
      <c r="B23" s="107">
        <f t="shared" si="2"/>
        <v>19</v>
      </c>
      <c r="C23" s="80" t="str">
        <f>'D2'!C22</f>
        <v>AUDI ESTELA SAHUANAY HUISACAYNA</v>
      </c>
      <c r="D23" s="80" t="str">
        <f>'D2'!F22</f>
        <v>COELLO PACHECO, JULIO CESAR</v>
      </c>
      <c r="E23" s="80" t="str">
        <f>'D2'!G22</f>
        <v>21497420</v>
      </c>
      <c r="F23" s="112" t="str">
        <f>'D2'!I22</f>
        <v/>
      </c>
      <c r="G23" s="115"/>
      <c r="H23" s="117"/>
      <c r="I23" s="134"/>
      <c r="J23" s="134"/>
      <c r="K23" s="134"/>
      <c r="L23" s="135"/>
      <c r="M23" s="137"/>
      <c r="N23" s="115"/>
      <c r="O23" s="117"/>
      <c r="P23" s="117"/>
      <c r="Q23" s="117"/>
      <c r="R23" s="117"/>
      <c r="S23" s="117"/>
      <c r="T23" s="121"/>
      <c r="U23" s="115"/>
      <c r="V23" s="117"/>
      <c r="W23" s="117"/>
      <c r="X23" s="117"/>
      <c r="Y23" s="117"/>
      <c r="Z23" s="117"/>
      <c r="AA23" s="121"/>
      <c r="AB23" s="115"/>
      <c r="AC23" s="117"/>
      <c r="AD23" s="117"/>
      <c r="AE23" s="117"/>
      <c r="AF23" s="117"/>
      <c r="AG23" s="117"/>
      <c r="AH23" s="121"/>
      <c r="AI23" s="10"/>
      <c r="AJ23" s="10"/>
      <c r="AK23" s="117">
        <v>1.0</v>
      </c>
      <c r="AL23" s="117">
        <v>1.0</v>
      </c>
      <c r="AM23" s="117">
        <v>1.0</v>
      </c>
      <c r="AN23" s="117">
        <v>1.0</v>
      </c>
      <c r="AO23" s="117">
        <v>1.0</v>
      </c>
      <c r="AP23" s="117">
        <v>1.0</v>
      </c>
      <c r="AQ23" s="117">
        <v>1.0</v>
      </c>
      <c r="AR23" s="117">
        <v>1.0</v>
      </c>
      <c r="AS23" s="117">
        <v>1.0</v>
      </c>
      <c r="AT23" s="117">
        <v>1.0</v>
      </c>
      <c r="AU23" s="117">
        <v>1.0</v>
      </c>
      <c r="AV23" s="117">
        <v>1.0</v>
      </c>
      <c r="AW23" s="117">
        <v>1.0</v>
      </c>
      <c r="AX23" s="117">
        <v>1.0</v>
      </c>
      <c r="AY23" s="117">
        <v>1.0</v>
      </c>
      <c r="AZ23" s="117">
        <v>1.0</v>
      </c>
      <c r="BA23" s="117">
        <v>1.0</v>
      </c>
      <c r="BB23" s="117">
        <v>1.0</v>
      </c>
      <c r="BC23" s="117">
        <v>1.0</v>
      </c>
      <c r="BD23" s="117">
        <v>1.0</v>
      </c>
      <c r="BE23" s="117">
        <v>1.0</v>
      </c>
      <c r="BF23" s="117">
        <v>1.0</v>
      </c>
      <c r="BG23" s="117">
        <v>1.0</v>
      </c>
      <c r="BH23" s="117">
        <v>1.0</v>
      </c>
      <c r="BI23" s="117">
        <v>1.0</v>
      </c>
      <c r="BJ23" s="117">
        <v>1.0</v>
      </c>
      <c r="BK23" s="115">
        <v>1.0</v>
      </c>
      <c r="BL23" s="117">
        <v>1.0</v>
      </c>
      <c r="BM23" s="117">
        <v>1.0</v>
      </c>
      <c r="BN23" s="117">
        <v>1.0</v>
      </c>
      <c r="BO23" s="117"/>
      <c r="BP23" s="117"/>
      <c r="BQ23" s="121"/>
    </row>
    <row r="24" ht="15.0" customHeight="1">
      <c r="A24" s="3" t="str">
        <f>'D2'!D23</f>
        <v/>
      </c>
      <c r="B24" s="107">
        <f t="shared" si="2"/>
        <v>20</v>
      </c>
      <c r="C24" s="80" t="str">
        <f>'D2'!C23</f>
        <v/>
      </c>
      <c r="D24" s="80" t="str">
        <f>'D2'!F23</f>
        <v/>
      </c>
      <c r="E24" s="80" t="str">
        <f>'D2'!G23</f>
        <v/>
      </c>
      <c r="F24" s="112" t="str">
        <f>'D2'!I23</f>
        <v/>
      </c>
      <c r="G24" s="115"/>
      <c r="H24" s="117"/>
      <c r="I24" s="134"/>
      <c r="J24" s="134"/>
      <c r="K24" s="134"/>
      <c r="L24" s="135"/>
      <c r="M24" s="137"/>
      <c r="N24" s="115"/>
      <c r="O24" s="117"/>
      <c r="P24" s="117"/>
      <c r="Q24" s="117"/>
      <c r="R24" s="117"/>
      <c r="S24" s="117"/>
      <c r="T24" s="121"/>
      <c r="U24" s="115"/>
      <c r="V24" s="117"/>
      <c r="W24" s="117"/>
      <c r="X24" s="117"/>
      <c r="Y24" s="117"/>
      <c r="Z24" s="117"/>
      <c r="AA24" s="121"/>
      <c r="AB24" s="115"/>
      <c r="AC24" s="117"/>
      <c r="AD24" s="117"/>
      <c r="AE24" s="117"/>
      <c r="AF24" s="117"/>
      <c r="AG24" s="117"/>
      <c r="AH24" s="121"/>
      <c r="AI24" s="115"/>
      <c r="AJ24" s="117"/>
      <c r="AK24" s="117"/>
      <c r="AL24" s="117"/>
      <c r="AM24" s="117"/>
      <c r="AN24" s="117"/>
      <c r="AO24" s="121"/>
      <c r="AP24" s="115"/>
      <c r="AQ24" s="117"/>
      <c r="AR24" s="117"/>
      <c r="AS24" s="117"/>
      <c r="AT24" s="117"/>
      <c r="AU24" s="117"/>
      <c r="AV24" s="121"/>
      <c r="AW24" s="115"/>
      <c r="AX24" s="117"/>
      <c r="AY24" s="117"/>
      <c r="AZ24" s="117"/>
      <c r="BA24" s="117"/>
      <c r="BB24" s="117"/>
      <c r="BC24" s="121"/>
      <c r="BD24" s="115"/>
      <c r="BE24" s="117"/>
      <c r="BF24" s="117"/>
      <c r="BG24" s="117"/>
      <c r="BH24" s="117"/>
      <c r="BI24" s="117"/>
      <c r="BJ24" s="121"/>
      <c r="BK24" s="115"/>
      <c r="BL24" s="117"/>
      <c r="BM24" s="117"/>
      <c r="BN24" s="117"/>
      <c r="BO24" s="117"/>
      <c r="BP24" s="117"/>
      <c r="BQ24" s="121"/>
    </row>
    <row r="25" ht="15.0" customHeight="1">
      <c r="A25" s="3" t="str">
        <f>'D2'!D24</f>
        <v/>
      </c>
      <c r="B25" s="107">
        <f t="shared" si="2"/>
        <v>21</v>
      </c>
      <c r="C25" s="145" t="str">
        <f>'D2'!C24</f>
        <v/>
      </c>
      <c r="D25" s="145" t="str">
        <f>'D2'!F24</f>
        <v/>
      </c>
      <c r="E25" s="145" t="str">
        <f>'D2'!G24</f>
        <v/>
      </c>
      <c r="F25" s="112" t="str">
        <f>'D2'!I24</f>
        <v/>
      </c>
      <c r="G25" s="115"/>
      <c r="H25" s="117"/>
      <c r="I25" s="134"/>
      <c r="J25" s="134"/>
      <c r="K25" s="134"/>
      <c r="L25" s="135"/>
      <c r="M25" s="137"/>
      <c r="N25" s="115"/>
      <c r="O25" s="117"/>
      <c r="P25" s="117"/>
      <c r="Q25" s="117"/>
      <c r="R25" s="117"/>
      <c r="S25" s="117"/>
      <c r="T25" s="121"/>
      <c r="U25" s="115"/>
      <c r="V25" s="117"/>
      <c r="W25" s="117"/>
      <c r="X25" s="117"/>
      <c r="Y25" s="117"/>
      <c r="Z25" s="117"/>
      <c r="AA25" s="121"/>
      <c r="AB25" s="115"/>
      <c r="AC25" s="117"/>
      <c r="AD25" s="117"/>
      <c r="AE25" s="117"/>
      <c r="AF25" s="117"/>
      <c r="AG25" s="117"/>
      <c r="AH25" s="121"/>
      <c r="AI25" s="115"/>
      <c r="AJ25" s="117"/>
      <c r="AK25" s="117"/>
      <c r="AL25" s="117"/>
      <c r="AM25" s="117"/>
      <c r="AN25" s="117"/>
      <c r="AO25" s="121"/>
      <c r="AP25" s="115"/>
      <c r="AQ25" s="117"/>
      <c r="AR25" s="117"/>
      <c r="AS25" s="117"/>
      <c r="AT25" s="117"/>
      <c r="AU25" s="117"/>
      <c r="AV25" s="121"/>
      <c r="AW25" s="115"/>
      <c r="AX25" s="117"/>
      <c r="AY25" s="117"/>
      <c r="AZ25" s="117"/>
      <c r="BA25" s="117"/>
      <c r="BB25" s="117"/>
      <c r="BC25" s="121"/>
      <c r="BD25" s="115"/>
      <c r="BE25" s="117"/>
      <c r="BF25" s="117"/>
      <c r="BG25" s="117"/>
      <c r="BH25" s="117"/>
      <c r="BI25" s="117"/>
      <c r="BJ25" s="121"/>
      <c r="BK25" s="115"/>
      <c r="BL25" s="117"/>
      <c r="BM25" s="117"/>
      <c r="BN25" s="117"/>
      <c r="BO25" s="117"/>
      <c r="BP25" s="117"/>
      <c r="BQ25" s="121"/>
    </row>
    <row r="26" ht="15.0" customHeight="1">
      <c r="A26" s="3" t="str">
        <f>'D2'!D25</f>
        <v/>
      </c>
      <c r="B26" s="107">
        <f t="shared" si="2"/>
        <v>22</v>
      </c>
      <c r="C26" s="145" t="str">
        <f>'D2'!C25</f>
        <v/>
      </c>
      <c r="D26" s="145" t="str">
        <f>'D2'!F25</f>
        <v/>
      </c>
      <c r="E26" s="145" t="str">
        <f>'D2'!G25</f>
        <v/>
      </c>
      <c r="F26" s="130" t="str">
        <f>'D2'!I25</f>
        <v/>
      </c>
      <c r="G26" s="115"/>
      <c r="H26" s="117"/>
      <c r="I26" s="134"/>
      <c r="J26" s="134"/>
      <c r="K26" s="134"/>
      <c r="L26" s="135"/>
      <c r="M26" s="137"/>
      <c r="N26" s="115"/>
      <c r="O26" s="117"/>
      <c r="P26" s="117"/>
      <c r="Q26" s="117"/>
      <c r="R26" s="117"/>
      <c r="S26" s="117"/>
      <c r="T26" s="121"/>
      <c r="U26" s="115"/>
      <c r="V26" s="117"/>
      <c r="W26" s="117"/>
      <c r="X26" s="117"/>
      <c r="Y26" s="117"/>
      <c r="Z26" s="117"/>
      <c r="AA26" s="121"/>
      <c r="AB26" s="115"/>
      <c r="AC26" s="117"/>
      <c r="AD26" s="117"/>
      <c r="AE26" s="117"/>
      <c r="AF26" s="117"/>
      <c r="AG26" s="117"/>
      <c r="AH26" s="121"/>
      <c r="AI26" s="115"/>
      <c r="AJ26" s="117"/>
      <c r="AK26" s="117"/>
      <c r="AL26" s="117"/>
      <c r="AM26" s="117"/>
      <c r="AN26" s="117"/>
      <c r="AO26" s="121"/>
      <c r="AP26" s="115"/>
      <c r="AQ26" s="117"/>
      <c r="AR26" s="117"/>
      <c r="AS26" s="117"/>
      <c r="AT26" s="117"/>
      <c r="AU26" s="117"/>
      <c r="AV26" s="121"/>
      <c r="AW26" s="115"/>
      <c r="AX26" s="117"/>
      <c r="AY26" s="117"/>
      <c r="AZ26" s="117"/>
      <c r="BA26" s="117"/>
      <c r="BB26" s="117"/>
      <c r="BC26" s="121"/>
      <c r="BD26" s="115"/>
      <c r="BE26" s="117"/>
      <c r="BF26" s="117"/>
      <c r="BG26" s="117"/>
      <c r="BH26" s="117"/>
      <c r="BI26" s="117"/>
      <c r="BJ26" s="121"/>
      <c r="BK26" s="115"/>
      <c r="BL26" s="117"/>
      <c r="BM26" s="117"/>
      <c r="BN26" s="117"/>
      <c r="BO26" s="117"/>
      <c r="BP26" s="117"/>
      <c r="BQ26" s="121"/>
    </row>
    <row r="27" ht="15.0" customHeight="1">
      <c r="A27" s="3" t="str">
        <f>'D2'!D26</f>
        <v/>
      </c>
      <c r="B27" s="107">
        <f t="shared" si="2"/>
        <v>23</v>
      </c>
      <c r="C27" s="145" t="str">
        <f>'D2'!C26</f>
        <v/>
      </c>
      <c r="D27" s="145" t="str">
        <f>'D2'!F26</f>
        <v/>
      </c>
      <c r="E27" s="145" t="str">
        <f>'D2'!G26</f>
        <v/>
      </c>
      <c r="F27" s="112" t="str">
        <f>'D2'!I26</f>
        <v/>
      </c>
      <c r="G27" s="154"/>
      <c r="H27" s="135"/>
      <c r="I27" s="134"/>
      <c r="J27" s="134"/>
      <c r="K27" s="134"/>
      <c r="L27" s="135"/>
      <c r="M27" s="137"/>
      <c r="N27" s="115"/>
      <c r="O27" s="117"/>
      <c r="P27" s="117"/>
      <c r="Q27" s="117"/>
      <c r="R27" s="117"/>
      <c r="S27" s="117"/>
      <c r="T27" s="121"/>
      <c r="U27" s="115"/>
      <c r="V27" s="117"/>
      <c r="W27" s="117"/>
      <c r="X27" s="117"/>
      <c r="Y27" s="117"/>
      <c r="Z27" s="117"/>
      <c r="AA27" s="121"/>
      <c r="AB27" s="115"/>
      <c r="AC27" s="117"/>
      <c r="AD27" s="117"/>
      <c r="AE27" s="117"/>
      <c r="AF27" s="117"/>
      <c r="AG27" s="117"/>
      <c r="AH27" s="121"/>
      <c r="AI27" s="115"/>
      <c r="AJ27" s="117"/>
      <c r="AK27" s="117"/>
      <c r="AL27" s="117"/>
      <c r="AM27" s="117"/>
      <c r="AN27" s="117"/>
      <c r="AO27" s="121"/>
      <c r="AP27" s="115"/>
      <c r="AQ27" s="117"/>
      <c r="AR27" s="117"/>
      <c r="AS27" s="117"/>
      <c r="AT27" s="117"/>
      <c r="AU27" s="117"/>
      <c r="AV27" s="121"/>
      <c r="AW27" s="115"/>
      <c r="AX27" s="117"/>
      <c r="AY27" s="117"/>
      <c r="AZ27" s="117"/>
      <c r="BA27" s="117"/>
      <c r="BB27" s="117"/>
      <c r="BC27" s="121"/>
      <c r="BD27" s="115"/>
      <c r="BE27" s="117"/>
      <c r="BF27" s="117"/>
      <c r="BG27" s="117"/>
      <c r="BH27" s="117"/>
      <c r="BI27" s="117"/>
      <c r="BJ27" s="121"/>
      <c r="BK27" s="115"/>
      <c r="BL27" s="117"/>
      <c r="BM27" s="117"/>
      <c r="BN27" s="117"/>
      <c r="BO27" s="117"/>
      <c r="BP27" s="117"/>
      <c r="BQ27" s="121"/>
    </row>
    <row r="28" ht="15.0" customHeight="1">
      <c r="A28" s="3" t="str">
        <f>'D2'!D27</f>
        <v/>
      </c>
      <c r="B28" s="107">
        <f t="shared" si="2"/>
        <v>24</v>
      </c>
      <c r="C28" s="145" t="str">
        <f>'D2'!C27</f>
        <v/>
      </c>
      <c r="D28" s="145" t="str">
        <f>'D2'!F27</f>
        <v/>
      </c>
      <c r="E28" s="145" t="str">
        <f>'D2'!G27</f>
        <v/>
      </c>
      <c r="F28" s="112" t="str">
        <f>'D2'!I27</f>
        <v/>
      </c>
      <c r="G28" s="115"/>
      <c r="H28" s="117"/>
      <c r="I28" s="134"/>
      <c r="J28" s="134"/>
      <c r="K28" s="134"/>
      <c r="L28" s="135"/>
      <c r="M28" s="137"/>
      <c r="N28" s="115"/>
      <c r="O28" s="117"/>
      <c r="P28" s="117"/>
      <c r="Q28" s="117"/>
      <c r="R28" s="117"/>
      <c r="S28" s="117"/>
      <c r="T28" s="121"/>
      <c r="U28" s="115"/>
      <c r="V28" s="117"/>
      <c r="W28" s="117"/>
      <c r="X28" s="117"/>
      <c r="Y28" s="117"/>
      <c r="Z28" s="117"/>
      <c r="AA28" s="121"/>
      <c r="AB28" s="115"/>
      <c r="AC28" s="117"/>
      <c r="AD28" s="117"/>
      <c r="AE28" s="117"/>
      <c r="AF28" s="117"/>
      <c r="AG28" s="117"/>
      <c r="AH28" s="121"/>
      <c r="AI28" s="115"/>
      <c r="AJ28" s="117"/>
      <c r="AK28" s="117"/>
      <c r="AL28" s="117"/>
      <c r="AM28" s="117"/>
      <c r="AN28" s="117"/>
      <c r="AO28" s="121"/>
      <c r="AP28" s="115"/>
      <c r="AQ28" s="117"/>
      <c r="AR28" s="117"/>
      <c r="AS28" s="117"/>
      <c r="AT28" s="117"/>
      <c r="AU28" s="117"/>
      <c r="AV28" s="121"/>
      <c r="AW28" s="115"/>
      <c r="AX28" s="117"/>
      <c r="AY28" s="117"/>
      <c r="AZ28" s="117"/>
      <c r="BA28" s="117"/>
      <c r="BB28" s="117"/>
      <c r="BC28" s="121"/>
      <c r="BD28" s="115"/>
      <c r="BE28" s="117"/>
      <c r="BF28" s="117"/>
      <c r="BG28" s="117"/>
      <c r="BH28" s="117"/>
      <c r="BI28" s="117"/>
      <c r="BJ28" s="121"/>
      <c r="BK28" s="115"/>
      <c r="BL28" s="117"/>
      <c r="BM28" s="117"/>
      <c r="BN28" s="117"/>
      <c r="BO28" s="117"/>
      <c r="BP28" s="117"/>
      <c r="BQ28" s="121"/>
    </row>
    <row r="29" ht="15.0" customHeight="1">
      <c r="A29" s="3" t="str">
        <f>'D2'!D28</f>
        <v/>
      </c>
      <c r="B29" s="107">
        <f t="shared" si="2"/>
        <v>25</v>
      </c>
      <c r="C29" s="145" t="str">
        <f>'D2'!C28</f>
        <v/>
      </c>
      <c r="D29" s="145" t="str">
        <f>'D2'!F28</f>
        <v/>
      </c>
      <c r="E29" s="145" t="str">
        <f>'D2'!G28</f>
        <v/>
      </c>
      <c r="F29" s="112" t="str">
        <f>'D2'!I28</f>
        <v/>
      </c>
      <c r="G29" s="169"/>
      <c r="H29" s="134"/>
      <c r="I29" s="134"/>
      <c r="J29" s="134"/>
      <c r="K29" s="134"/>
      <c r="L29" s="135"/>
      <c r="M29" s="137"/>
      <c r="N29" s="115"/>
      <c r="O29" s="117"/>
      <c r="P29" s="117"/>
      <c r="Q29" s="117"/>
      <c r="R29" s="117"/>
      <c r="S29" s="117"/>
      <c r="T29" s="121"/>
      <c r="U29" s="115"/>
      <c r="V29" s="117"/>
      <c r="W29" s="117"/>
      <c r="X29" s="117"/>
      <c r="Y29" s="117"/>
      <c r="Z29" s="117"/>
      <c r="AA29" s="121"/>
      <c r="AB29" s="115"/>
      <c r="AC29" s="117"/>
      <c r="AD29" s="117"/>
      <c r="AE29" s="117"/>
      <c r="AF29" s="117"/>
      <c r="AG29" s="117"/>
      <c r="AH29" s="121"/>
      <c r="AI29" s="115"/>
      <c r="AJ29" s="117"/>
      <c r="AK29" s="117"/>
      <c r="AL29" s="117"/>
      <c r="AM29" s="117"/>
      <c r="AN29" s="117"/>
      <c r="AO29" s="121"/>
      <c r="AP29" s="115"/>
      <c r="AQ29" s="117"/>
      <c r="AR29" s="117"/>
      <c r="AS29" s="117"/>
      <c r="AT29" s="117"/>
      <c r="AU29" s="117"/>
      <c r="AV29" s="121"/>
      <c r="AW29" s="115"/>
      <c r="AX29" s="117"/>
      <c r="AY29" s="117"/>
      <c r="AZ29" s="117"/>
      <c r="BA29" s="117"/>
      <c r="BB29" s="117"/>
      <c r="BC29" s="121"/>
      <c r="BD29" s="115"/>
      <c r="BE29" s="117"/>
      <c r="BF29" s="117"/>
      <c r="BG29" s="117"/>
      <c r="BH29" s="117"/>
      <c r="BI29" s="117"/>
      <c r="BJ29" s="121"/>
      <c r="BK29" s="115"/>
      <c r="BL29" s="117"/>
      <c r="BM29" s="117"/>
      <c r="BN29" s="117"/>
      <c r="BO29" s="117"/>
      <c r="BP29" s="117"/>
      <c r="BQ29" s="121"/>
    </row>
    <row r="30" ht="15.0" customHeight="1">
      <c r="A30" s="3" t="str">
        <f>'D2'!D29</f>
        <v/>
      </c>
      <c r="B30" s="107">
        <f t="shared" si="2"/>
        <v>26</v>
      </c>
      <c r="C30" s="145" t="str">
        <f>'D2'!C29</f>
        <v/>
      </c>
      <c r="D30" s="145" t="str">
        <f>'D2'!F29</f>
        <v/>
      </c>
      <c r="E30" s="145" t="str">
        <f>'D2'!G29</f>
        <v/>
      </c>
      <c r="F30" s="112" t="str">
        <f>'D2'!I29</f>
        <v/>
      </c>
      <c r="G30" s="154"/>
      <c r="H30" s="135"/>
      <c r="I30" s="135"/>
      <c r="J30" s="135"/>
      <c r="K30" s="135"/>
      <c r="L30" s="135"/>
      <c r="M30" s="121"/>
      <c r="N30" s="115"/>
      <c r="O30" s="117"/>
      <c r="P30" s="117"/>
      <c r="Q30" s="117"/>
      <c r="R30" s="117"/>
      <c r="S30" s="117"/>
      <c r="T30" s="121"/>
      <c r="U30" s="115"/>
      <c r="V30" s="117"/>
      <c r="W30" s="117"/>
      <c r="X30" s="117"/>
      <c r="Y30" s="117"/>
      <c r="Z30" s="117"/>
      <c r="AA30" s="121"/>
      <c r="AB30" s="115"/>
      <c r="AC30" s="117"/>
      <c r="AD30" s="117"/>
      <c r="AE30" s="117"/>
      <c r="AF30" s="117"/>
      <c r="AG30" s="117"/>
      <c r="AH30" s="121"/>
      <c r="AI30" s="115"/>
      <c r="AJ30" s="117"/>
      <c r="AK30" s="117"/>
      <c r="AL30" s="117"/>
      <c r="AM30" s="117"/>
      <c r="AN30" s="135"/>
      <c r="AO30" s="137"/>
      <c r="AP30" s="115"/>
      <c r="AQ30" s="117"/>
      <c r="AR30" s="117"/>
      <c r="AS30" s="117"/>
      <c r="AT30" s="117"/>
      <c r="AU30" s="117"/>
      <c r="AV30" s="121"/>
      <c r="AW30" s="154"/>
      <c r="AX30" s="117"/>
      <c r="AY30" s="117"/>
      <c r="AZ30" s="117"/>
      <c r="BA30" s="117"/>
      <c r="BB30" s="117"/>
      <c r="BC30" s="121"/>
      <c r="BD30" s="115"/>
      <c r="BE30" s="117"/>
      <c r="BF30" s="117"/>
      <c r="BG30" s="117"/>
      <c r="BH30" s="117"/>
      <c r="BI30" s="117"/>
      <c r="BJ30" s="121"/>
      <c r="BK30" s="115"/>
      <c r="BL30" s="117"/>
      <c r="BM30" s="117"/>
      <c r="BN30" s="117"/>
      <c r="BO30" s="117"/>
      <c r="BP30" s="117"/>
      <c r="BQ30" s="121"/>
    </row>
    <row r="31" ht="15.0" customHeight="1">
      <c r="A31" s="3" t="str">
        <f>'D2'!D30</f>
        <v/>
      </c>
      <c r="B31" s="107">
        <f t="shared" si="2"/>
        <v>27</v>
      </c>
      <c r="C31" s="145" t="str">
        <f>'D2'!C30</f>
        <v/>
      </c>
      <c r="D31" s="145" t="str">
        <f>'D2'!F30</f>
        <v/>
      </c>
      <c r="E31" s="145" t="str">
        <f>'D2'!G30</f>
        <v/>
      </c>
      <c r="F31" s="112" t="str">
        <f>'D2'!I30</f>
        <v/>
      </c>
      <c r="G31" s="169"/>
      <c r="H31" s="134"/>
      <c r="I31" s="134"/>
      <c r="J31" s="134"/>
      <c r="K31" s="117"/>
      <c r="L31" s="117"/>
      <c r="M31" s="121"/>
      <c r="N31" s="115"/>
      <c r="O31" s="117"/>
      <c r="P31" s="117"/>
      <c r="Q31" s="117"/>
      <c r="R31" s="117"/>
      <c r="S31" s="117"/>
      <c r="T31" s="121"/>
      <c r="U31" s="115"/>
      <c r="V31" s="117"/>
      <c r="W31" s="117"/>
      <c r="X31" s="117"/>
      <c r="Y31" s="117"/>
      <c r="Z31" s="117"/>
      <c r="AA31" s="121"/>
      <c r="AB31" s="115"/>
      <c r="AC31" s="117"/>
      <c r="AD31" s="117"/>
      <c r="AE31" s="117"/>
      <c r="AF31" s="117"/>
      <c r="AG31" s="117"/>
      <c r="AH31" s="121"/>
      <c r="AI31" s="115"/>
      <c r="AJ31" s="117"/>
      <c r="AK31" s="117"/>
      <c r="AL31" s="117"/>
      <c r="AM31" s="117"/>
      <c r="AN31" s="117"/>
      <c r="AO31" s="121"/>
      <c r="AP31" s="115"/>
      <c r="AQ31" s="117"/>
      <c r="AR31" s="117"/>
      <c r="AS31" s="117"/>
      <c r="AT31" s="117"/>
      <c r="AU31" s="117"/>
      <c r="AV31" s="121"/>
      <c r="AW31" s="115"/>
      <c r="AX31" s="117"/>
      <c r="AY31" s="117"/>
      <c r="AZ31" s="117"/>
      <c r="BA31" s="117"/>
      <c r="BB31" s="117"/>
      <c r="BC31" s="121"/>
      <c r="BD31" s="115"/>
      <c r="BE31" s="117"/>
      <c r="BF31" s="117"/>
      <c r="BG31" s="117"/>
      <c r="BH31" s="117"/>
      <c r="BI31" s="117"/>
      <c r="BJ31" s="121"/>
      <c r="BK31" s="115"/>
      <c r="BL31" s="117"/>
      <c r="BM31" s="117"/>
      <c r="BN31" s="117"/>
      <c r="BO31" s="117"/>
      <c r="BP31" s="117"/>
      <c r="BQ31" s="121"/>
    </row>
    <row r="32" ht="15.0" customHeight="1">
      <c r="A32" s="3" t="str">
        <f>'D2'!D31</f>
        <v/>
      </c>
      <c r="B32" s="107">
        <f t="shared" si="2"/>
        <v>28</v>
      </c>
      <c r="C32" s="145" t="str">
        <f>'D2'!C31</f>
        <v/>
      </c>
      <c r="D32" s="145" t="str">
        <f>'D2'!F31</f>
        <v/>
      </c>
      <c r="E32" s="145" t="str">
        <f>'D2'!G31</f>
        <v/>
      </c>
      <c r="F32" s="112" t="str">
        <f>'D2'!I31</f>
        <v/>
      </c>
      <c r="G32" s="170"/>
      <c r="H32" s="171"/>
      <c r="I32" s="171"/>
      <c r="J32" s="171"/>
      <c r="K32" s="171"/>
      <c r="L32" s="135"/>
      <c r="M32" s="137"/>
      <c r="N32" s="154"/>
      <c r="O32" s="135"/>
      <c r="P32" s="135"/>
      <c r="Q32" s="135"/>
      <c r="R32" s="135"/>
      <c r="S32" s="135"/>
      <c r="T32" s="137"/>
      <c r="U32" s="154"/>
      <c r="V32" s="135"/>
      <c r="W32" s="135"/>
      <c r="X32" s="135"/>
      <c r="Y32" s="135"/>
      <c r="Z32" s="135"/>
      <c r="AA32" s="137"/>
      <c r="AB32" s="154"/>
      <c r="AC32" s="135"/>
      <c r="AD32" s="135"/>
      <c r="AE32" s="135"/>
      <c r="AF32" s="135"/>
      <c r="AG32" s="135"/>
      <c r="AH32" s="137"/>
      <c r="AI32" s="154"/>
      <c r="AJ32" s="135"/>
      <c r="AK32" s="135"/>
      <c r="AL32" s="135"/>
      <c r="AM32" s="135"/>
      <c r="AN32" s="135"/>
      <c r="AO32" s="137"/>
      <c r="AP32" s="154"/>
      <c r="AQ32" s="135"/>
      <c r="AR32" s="135"/>
      <c r="AS32" s="135"/>
      <c r="AT32" s="135"/>
      <c r="AU32" s="135"/>
      <c r="AV32" s="137"/>
      <c r="AW32" s="154"/>
      <c r="AX32" s="135"/>
      <c r="AY32" s="135"/>
      <c r="AZ32" s="135"/>
      <c r="BA32" s="135"/>
      <c r="BB32" s="135"/>
      <c r="BC32" s="137"/>
      <c r="BD32" s="154"/>
      <c r="BE32" s="135"/>
      <c r="BF32" s="135"/>
      <c r="BG32" s="135"/>
      <c r="BH32" s="135"/>
      <c r="BI32" s="135"/>
      <c r="BJ32" s="137"/>
      <c r="BK32" s="154"/>
      <c r="BL32" s="135"/>
      <c r="BM32" s="135"/>
      <c r="BN32" s="135"/>
      <c r="BO32" s="135"/>
      <c r="BP32" s="135"/>
      <c r="BQ32" s="137"/>
    </row>
    <row r="33" ht="15.0" customHeight="1">
      <c r="A33" s="3" t="str">
        <f>'D2'!D32</f>
        <v/>
      </c>
      <c r="B33" s="107">
        <f t="shared" si="2"/>
        <v>29</v>
      </c>
      <c r="C33" s="145" t="str">
        <f>'D2'!C32</f>
        <v/>
      </c>
      <c r="D33" s="145" t="str">
        <f>'D2'!F32</f>
        <v/>
      </c>
      <c r="E33" s="145" t="str">
        <f>'D2'!G32</f>
        <v/>
      </c>
      <c r="F33" s="112" t="str">
        <f>'D2'!I32</f>
        <v/>
      </c>
      <c r="G33" s="115"/>
      <c r="H33" s="117"/>
      <c r="I33" s="117"/>
      <c r="J33" s="117"/>
      <c r="K33" s="117"/>
      <c r="L33" s="117"/>
      <c r="M33" s="121"/>
      <c r="N33" s="115"/>
      <c r="O33" s="117"/>
      <c r="P33" s="117"/>
      <c r="Q33" s="117"/>
      <c r="R33" s="117"/>
      <c r="S33" s="117"/>
      <c r="T33" s="121"/>
      <c r="U33" s="115"/>
      <c r="V33" s="117"/>
      <c r="W33" s="117"/>
      <c r="X33" s="117"/>
      <c r="Y33" s="117"/>
      <c r="Z33" s="117"/>
      <c r="AA33" s="121"/>
      <c r="AB33" s="115"/>
      <c r="AC33" s="117"/>
      <c r="AD33" s="117"/>
      <c r="AE33" s="117"/>
      <c r="AF33" s="117"/>
      <c r="AG33" s="117"/>
      <c r="AH33" s="121"/>
      <c r="AI33" s="115"/>
      <c r="AJ33" s="117"/>
      <c r="AK33" s="117"/>
      <c r="AL33" s="117"/>
      <c r="AM33" s="117"/>
      <c r="AN33" s="117"/>
      <c r="AO33" s="121"/>
      <c r="AP33" s="115"/>
      <c r="AQ33" s="117"/>
      <c r="AR33" s="117"/>
      <c r="AS33" s="117"/>
      <c r="AT33" s="117"/>
      <c r="AU33" s="117"/>
      <c r="AV33" s="121"/>
      <c r="AW33" s="115"/>
      <c r="AX33" s="117"/>
      <c r="AY33" s="117"/>
      <c r="AZ33" s="117"/>
      <c r="BA33" s="117"/>
      <c r="BB33" s="117"/>
      <c r="BC33" s="121"/>
      <c r="BD33" s="115"/>
      <c r="BE33" s="117"/>
      <c r="BF33" s="117"/>
      <c r="BG33" s="117"/>
      <c r="BH33" s="117"/>
      <c r="BI33" s="117"/>
      <c r="BJ33" s="121"/>
      <c r="BK33" s="115"/>
      <c r="BL33" s="117"/>
      <c r="BM33" s="117"/>
      <c r="BN33" s="117"/>
      <c r="BO33" s="117"/>
      <c r="BP33" s="117"/>
      <c r="BQ33" s="121"/>
    </row>
    <row r="34" ht="15.0" customHeight="1">
      <c r="A34" s="3" t="str">
        <f>'D2'!D33</f>
        <v/>
      </c>
      <c r="B34" s="107">
        <f t="shared" si="2"/>
        <v>30</v>
      </c>
      <c r="C34" s="145" t="str">
        <f>'D2'!C33</f>
        <v/>
      </c>
      <c r="D34" s="145" t="str">
        <f>'D2'!F33</f>
        <v/>
      </c>
      <c r="E34" s="145" t="str">
        <f>'D2'!G33</f>
        <v/>
      </c>
      <c r="F34" s="112" t="str">
        <f>'D2'!I33</f>
        <v/>
      </c>
      <c r="G34" s="115"/>
      <c r="H34" s="117"/>
      <c r="I34" s="117"/>
      <c r="J34" s="117"/>
      <c r="K34" s="117"/>
      <c r="L34" s="117"/>
      <c r="M34" s="121"/>
      <c r="N34" s="115"/>
      <c r="O34" s="117"/>
      <c r="P34" s="117"/>
      <c r="Q34" s="117"/>
      <c r="R34" s="117"/>
      <c r="S34" s="117"/>
      <c r="T34" s="121"/>
      <c r="U34" s="115"/>
      <c r="V34" s="117"/>
      <c r="W34" s="117"/>
      <c r="X34" s="117"/>
      <c r="Y34" s="117"/>
      <c r="Z34" s="117"/>
      <c r="AA34" s="121"/>
      <c r="AB34" s="115"/>
      <c r="AC34" s="117"/>
      <c r="AD34" s="117"/>
      <c r="AE34" s="117"/>
      <c r="AF34" s="117"/>
      <c r="AG34" s="117"/>
      <c r="AH34" s="121"/>
      <c r="AI34" s="115"/>
      <c r="AJ34" s="117"/>
      <c r="AK34" s="117"/>
      <c r="AL34" s="117"/>
      <c r="AM34" s="117"/>
      <c r="AN34" s="117"/>
      <c r="AO34" s="121"/>
      <c r="AP34" s="115"/>
      <c r="AQ34" s="117"/>
      <c r="AR34" s="117"/>
      <c r="AS34" s="117"/>
      <c r="AT34" s="117"/>
      <c r="AU34" s="117"/>
      <c r="AV34" s="121"/>
      <c r="AW34" s="115"/>
      <c r="AX34" s="117"/>
      <c r="AY34" s="117"/>
      <c r="AZ34" s="117"/>
      <c r="BA34" s="117"/>
      <c r="BB34" s="117"/>
      <c r="BC34" s="121"/>
      <c r="BD34" s="115"/>
      <c r="BE34" s="117"/>
      <c r="BF34" s="117"/>
      <c r="BG34" s="117"/>
      <c r="BH34" s="117"/>
      <c r="BI34" s="117"/>
      <c r="BJ34" s="121"/>
      <c r="BK34" s="115"/>
      <c r="BL34" s="117"/>
      <c r="BM34" s="117"/>
      <c r="BN34" s="117"/>
      <c r="BO34" s="117"/>
      <c r="BP34" s="117"/>
      <c r="BQ34" s="121"/>
    </row>
    <row r="35" ht="15.0" customHeight="1">
      <c r="A35" s="3" t="str">
        <f>'D2'!D34</f>
        <v/>
      </c>
      <c r="B35" s="107">
        <f t="shared" si="2"/>
        <v>31</v>
      </c>
      <c r="C35" s="145" t="str">
        <f>'D2'!C34</f>
        <v/>
      </c>
      <c r="D35" s="145" t="str">
        <f>'D2'!F34</f>
        <v/>
      </c>
      <c r="E35" s="145" t="str">
        <f>'D2'!G34</f>
        <v/>
      </c>
      <c r="F35" s="112" t="str">
        <f>'D2'!I34</f>
        <v/>
      </c>
      <c r="G35" s="169"/>
      <c r="H35" s="134"/>
      <c r="I35" s="134"/>
      <c r="J35" s="134"/>
      <c r="K35" s="134"/>
      <c r="L35" s="135"/>
      <c r="M35" s="137"/>
      <c r="N35" s="154"/>
      <c r="O35" s="135"/>
      <c r="P35" s="135"/>
      <c r="Q35" s="135"/>
      <c r="R35" s="135"/>
      <c r="S35" s="135"/>
      <c r="T35" s="137"/>
      <c r="U35" s="115"/>
      <c r="V35" s="117"/>
      <c r="W35" s="117"/>
      <c r="X35" s="117"/>
      <c r="Y35" s="135"/>
      <c r="Z35" s="135"/>
      <c r="AA35" s="137"/>
      <c r="AB35" s="115"/>
      <c r="AC35" s="117"/>
      <c r="AD35" s="117"/>
      <c r="AE35" s="117"/>
      <c r="AF35" s="117"/>
      <c r="AG35" s="135"/>
      <c r="AH35" s="137"/>
      <c r="AI35" s="154"/>
      <c r="AJ35" s="117"/>
      <c r="AK35" s="135"/>
      <c r="AL35" s="117"/>
      <c r="AM35" s="117"/>
      <c r="AN35" s="117"/>
      <c r="AO35" s="137"/>
      <c r="AP35" s="154"/>
      <c r="AQ35" s="117"/>
      <c r="AR35" s="135"/>
      <c r="AS35" s="117"/>
      <c r="AT35" s="117"/>
      <c r="AU35" s="135"/>
      <c r="AV35" s="121"/>
      <c r="AW35" s="154"/>
      <c r="AX35" s="117"/>
      <c r="AY35" s="135"/>
      <c r="AZ35" s="117"/>
      <c r="BA35" s="135"/>
      <c r="BB35" s="135"/>
      <c r="BC35" s="121"/>
      <c r="BD35" s="115"/>
      <c r="BE35" s="135"/>
      <c r="BF35" s="117"/>
      <c r="BG35" s="117"/>
      <c r="BH35" s="135"/>
      <c r="BI35" s="117"/>
      <c r="BJ35" s="137"/>
      <c r="BK35" s="115"/>
      <c r="BL35" s="117"/>
      <c r="BM35" s="135"/>
      <c r="BN35" s="117"/>
      <c r="BO35" s="135"/>
      <c r="BP35" s="135"/>
      <c r="BQ35" s="137"/>
    </row>
    <row r="36" ht="15.0" customHeight="1">
      <c r="A36" s="3" t="str">
        <f>'D2'!D35</f>
        <v/>
      </c>
      <c r="B36" s="107">
        <f t="shared" si="2"/>
        <v>32</v>
      </c>
      <c r="C36" s="145" t="str">
        <f>'D2'!C35</f>
        <v/>
      </c>
      <c r="D36" s="145" t="str">
        <f>'D2'!F35</f>
        <v/>
      </c>
      <c r="E36" s="145" t="str">
        <f>'D2'!G35</f>
        <v/>
      </c>
      <c r="F36" s="112" t="str">
        <f>'D2'!I35</f>
        <v/>
      </c>
      <c r="G36" s="115"/>
      <c r="H36" s="135"/>
      <c r="I36" s="135"/>
      <c r="J36" s="135"/>
      <c r="K36" s="135"/>
      <c r="L36" s="135"/>
      <c r="M36" s="137"/>
      <c r="N36" s="154"/>
      <c r="O36" s="135"/>
      <c r="P36" s="135"/>
      <c r="Q36" s="135"/>
      <c r="R36" s="135"/>
      <c r="S36" s="135"/>
      <c r="T36" s="137"/>
      <c r="U36" s="115"/>
      <c r="V36" s="117"/>
      <c r="W36" s="117"/>
      <c r="X36" s="117"/>
      <c r="Y36" s="117"/>
      <c r="Z36" s="117"/>
      <c r="AA36" s="121"/>
      <c r="AB36" s="115"/>
      <c r="AC36" s="117"/>
      <c r="AD36" s="117"/>
      <c r="AE36" s="117"/>
      <c r="AF36" s="117"/>
      <c r="AG36" s="117"/>
      <c r="AH36" s="121"/>
      <c r="AI36" s="115"/>
      <c r="AJ36" s="117"/>
      <c r="AK36" s="117"/>
      <c r="AL36" s="117"/>
      <c r="AM36" s="117"/>
      <c r="AN36" s="117"/>
      <c r="AO36" s="121"/>
      <c r="AP36" s="115"/>
      <c r="AQ36" s="117"/>
      <c r="AR36" s="117"/>
      <c r="AS36" s="117"/>
      <c r="AT36" s="117"/>
      <c r="AU36" s="117"/>
      <c r="AV36" s="121"/>
      <c r="AW36" s="115"/>
      <c r="AX36" s="117"/>
      <c r="AY36" s="117"/>
      <c r="AZ36" s="117"/>
      <c r="BA36" s="117"/>
      <c r="BB36" s="117"/>
      <c r="BC36" s="121"/>
      <c r="BD36" s="115"/>
      <c r="BE36" s="117"/>
      <c r="BF36" s="117"/>
      <c r="BG36" s="117"/>
      <c r="BH36" s="117"/>
      <c r="BI36" s="117"/>
      <c r="BJ36" s="121"/>
      <c r="BK36" s="115"/>
      <c r="BL36" s="117"/>
      <c r="BM36" s="117"/>
      <c r="BN36" s="117"/>
      <c r="BO36" s="117"/>
      <c r="BP36" s="117"/>
      <c r="BQ36" s="121"/>
    </row>
    <row r="37" ht="15.0" customHeight="1">
      <c r="A37" s="3" t="str">
        <f>'D2'!D36</f>
        <v/>
      </c>
      <c r="B37" s="107">
        <f t="shared" si="2"/>
        <v>33</v>
      </c>
      <c r="C37" s="145" t="str">
        <f>'D2'!C36</f>
        <v/>
      </c>
      <c r="D37" s="145" t="str">
        <f>'D2'!F36</f>
        <v/>
      </c>
      <c r="E37" s="145" t="str">
        <f>'D2'!G36</f>
        <v/>
      </c>
      <c r="F37" s="112" t="str">
        <f>'D2'!I36</f>
        <v/>
      </c>
      <c r="G37" s="154"/>
      <c r="H37" s="135"/>
      <c r="I37" s="135"/>
      <c r="J37" s="135"/>
      <c r="K37" s="135"/>
      <c r="L37" s="135"/>
      <c r="M37" s="137"/>
      <c r="N37" s="154"/>
      <c r="O37" s="135"/>
      <c r="P37" s="135"/>
      <c r="Q37" s="171"/>
      <c r="R37" s="171"/>
      <c r="S37" s="171"/>
      <c r="T37" s="137"/>
      <c r="U37" s="154"/>
      <c r="V37" s="135"/>
      <c r="W37" s="135"/>
      <c r="X37" s="135"/>
      <c r="Y37" s="135"/>
      <c r="Z37" s="135"/>
      <c r="AA37" s="137"/>
      <c r="AB37" s="154"/>
      <c r="AC37" s="135"/>
      <c r="AD37" s="117"/>
      <c r="AE37" s="135"/>
      <c r="AF37" s="117"/>
      <c r="AG37" s="117"/>
      <c r="AH37" s="137"/>
      <c r="AI37" s="154"/>
      <c r="AJ37" s="135"/>
      <c r="AK37" s="117"/>
      <c r="AL37" s="135"/>
      <c r="AM37" s="117"/>
      <c r="AN37" s="117"/>
      <c r="AO37" s="137"/>
      <c r="AP37" s="115"/>
      <c r="AQ37" s="135"/>
      <c r="AR37" s="135"/>
      <c r="AS37" s="117"/>
      <c r="AT37" s="135"/>
      <c r="AU37" s="117"/>
      <c r="AV37" s="121"/>
      <c r="AW37" s="154"/>
      <c r="AX37" s="135"/>
      <c r="AY37" s="117"/>
      <c r="AZ37" s="135"/>
      <c r="BA37" s="117"/>
      <c r="BB37" s="117"/>
      <c r="BC37" s="137"/>
      <c r="BD37" s="154"/>
      <c r="BE37" s="117"/>
      <c r="BF37" s="117"/>
      <c r="BG37" s="135"/>
      <c r="BH37" s="117"/>
      <c r="BI37" s="135"/>
      <c r="BJ37" s="121"/>
      <c r="BK37" s="154"/>
      <c r="BL37" s="117"/>
      <c r="BM37" s="117"/>
      <c r="BN37" s="117"/>
      <c r="BO37" s="135"/>
      <c r="BP37" s="135"/>
      <c r="BQ37" s="137"/>
    </row>
    <row r="38" ht="15.0" customHeight="1">
      <c r="A38" s="3" t="str">
        <f>'D2'!D37</f>
        <v/>
      </c>
      <c r="B38" s="107">
        <f t="shared" si="2"/>
        <v>34</v>
      </c>
      <c r="C38" s="145" t="str">
        <f>'D2'!C37</f>
        <v/>
      </c>
      <c r="D38" s="145" t="str">
        <f>'D2'!F37</f>
        <v/>
      </c>
      <c r="E38" s="145" t="str">
        <f>'D2'!G37</f>
        <v/>
      </c>
      <c r="F38" s="112" t="str">
        <f>'D2'!I37</f>
        <v/>
      </c>
      <c r="G38" s="170"/>
      <c r="H38" s="171"/>
      <c r="I38" s="171"/>
      <c r="J38" s="171"/>
      <c r="K38" s="171"/>
      <c r="L38" s="171"/>
      <c r="M38" s="137"/>
      <c r="N38" s="154"/>
      <c r="O38" s="171"/>
      <c r="P38" s="171"/>
      <c r="Q38" s="171"/>
      <c r="R38" s="171"/>
      <c r="S38" s="135"/>
      <c r="T38" s="137"/>
      <c r="U38" s="154"/>
      <c r="V38" s="135"/>
      <c r="W38" s="135"/>
      <c r="X38" s="135"/>
      <c r="Y38" s="135"/>
      <c r="Z38" s="135"/>
      <c r="AA38" s="137"/>
      <c r="AB38" s="154"/>
      <c r="AC38" s="135"/>
      <c r="AD38" s="135"/>
      <c r="AE38" s="135"/>
      <c r="AF38" s="117"/>
      <c r="AG38" s="135"/>
      <c r="AH38" s="137"/>
      <c r="AI38" s="154"/>
      <c r="AJ38" s="117"/>
      <c r="AK38" s="135"/>
      <c r="AL38" s="117"/>
      <c r="AM38" s="135"/>
      <c r="AN38" s="135"/>
      <c r="AO38" s="137"/>
      <c r="AP38" s="154"/>
      <c r="AQ38" s="135"/>
      <c r="AR38" s="117"/>
      <c r="AS38" s="117"/>
      <c r="AT38" s="135"/>
      <c r="AU38" s="117"/>
      <c r="AV38" s="137"/>
      <c r="AW38" s="154"/>
      <c r="AX38" s="135"/>
      <c r="AY38" s="117"/>
      <c r="AZ38" s="135"/>
      <c r="BA38" s="135"/>
      <c r="BB38" s="117"/>
      <c r="BC38" s="137"/>
      <c r="BD38" s="115"/>
      <c r="BE38" s="135"/>
      <c r="BF38" s="117"/>
      <c r="BG38" s="135"/>
      <c r="BH38" s="135"/>
      <c r="BI38" s="135"/>
      <c r="BJ38" s="121"/>
      <c r="BK38" s="115"/>
      <c r="BL38" s="135"/>
      <c r="BM38" s="135"/>
      <c r="BN38" s="117"/>
      <c r="BO38" s="135"/>
      <c r="BP38" s="135"/>
      <c r="BQ38" s="137"/>
    </row>
    <row r="39" ht="15.0" customHeight="1">
      <c r="A39" s="3" t="str">
        <f>'D2'!D38</f>
        <v/>
      </c>
      <c r="B39" s="107">
        <f t="shared" si="2"/>
        <v>35</v>
      </c>
      <c r="C39" s="145" t="str">
        <f>'D2'!C38</f>
        <v/>
      </c>
      <c r="D39" s="145" t="str">
        <f>'D2'!F38</f>
        <v/>
      </c>
      <c r="E39" s="145" t="str">
        <f>'D2'!G38</f>
        <v/>
      </c>
      <c r="F39" s="112" t="str">
        <f>'D2'!I38</f>
        <v/>
      </c>
      <c r="G39" s="115"/>
      <c r="H39" s="117"/>
      <c r="I39" s="117"/>
      <c r="J39" s="117"/>
      <c r="K39" s="117"/>
      <c r="L39" s="117"/>
      <c r="M39" s="121"/>
      <c r="N39" s="115"/>
      <c r="O39" s="117"/>
      <c r="P39" s="117"/>
      <c r="Q39" s="117"/>
      <c r="R39" s="117"/>
      <c r="S39" s="117"/>
      <c r="T39" s="121"/>
      <c r="U39" s="115"/>
      <c r="V39" s="117"/>
      <c r="W39" s="117"/>
      <c r="X39" s="117"/>
      <c r="Y39" s="117"/>
      <c r="Z39" s="117"/>
      <c r="AA39" s="121"/>
      <c r="AB39" s="115"/>
      <c r="AC39" s="117"/>
      <c r="AD39" s="117"/>
      <c r="AE39" s="117"/>
      <c r="AF39" s="117"/>
      <c r="AG39" s="117"/>
      <c r="AH39" s="121"/>
      <c r="AI39" s="115"/>
      <c r="AJ39" s="117"/>
      <c r="AK39" s="117"/>
      <c r="AL39" s="117"/>
      <c r="AM39" s="117"/>
      <c r="AN39" s="117"/>
      <c r="AO39" s="121"/>
      <c r="AP39" s="115"/>
      <c r="AQ39" s="117"/>
      <c r="AR39" s="117"/>
      <c r="AS39" s="117"/>
      <c r="AT39" s="117"/>
      <c r="AU39" s="117"/>
      <c r="AV39" s="121"/>
      <c r="AW39" s="115"/>
      <c r="AX39" s="117"/>
      <c r="AY39" s="117"/>
      <c r="AZ39" s="117"/>
      <c r="BA39" s="117"/>
      <c r="BB39" s="117"/>
      <c r="BC39" s="121"/>
      <c r="BD39" s="115"/>
      <c r="BE39" s="117"/>
      <c r="BF39" s="117"/>
      <c r="BG39" s="117"/>
      <c r="BH39" s="117"/>
      <c r="BI39" s="117"/>
      <c r="BJ39" s="121"/>
      <c r="BK39" s="115"/>
      <c r="BL39" s="117"/>
      <c r="BM39" s="117"/>
      <c r="BN39" s="117"/>
      <c r="BO39" s="117"/>
      <c r="BP39" s="117"/>
      <c r="BQ39" s="137"/>
    </row>
    <row r="40" ht="15.0" customHeight="1">
      <c r="A40" s="3" t="str">
        <f>'D2'!D39</f>
        <v/>
      </c>
      <c r="B40" s="107">
        <f t="shared" si="2"/>
        <v>36</v>
      </c>
      <c r="C40" s="145" t="str">
        <f>'D2'!C39</f>
        <v/>
      </c>
      <c r="D40" s="145" t="str">
        <f>'D2'!F39</f>
        <v/>
      </c>
      <c r="E40" s="145" t="str">
        <f>'D2'!G39</f>
        <v/>
      </c>
      <c r="F40" s="112" t="str">
        <f>'D2'!I39</f>
        <v/>
      </c>
      <c r="G40" s="170"/>
      <c r="H40" s="171"/>
      <c r="I40" s="171"/>
      <c r="J40" s="171"/>
      <c r="K40" s="171"/>
      <c r="L40" s="117"/>
      <c r="M40" s="168"/>
      <c r="N40" s="170"/>
      <c r="O40" s="134"/>
      <c r="P40" s="134"/>
      <c r="Q40" s="134"/>
      <c r="R40" s="134"/>
      <c r="S40" s="135"/>
      <c r="T40" s="137"/>
      <c r="U40" s="154"/>
      <c r="V40" s="135"/>
      <c r="W40" s="135"/>
      <c r="X40" s="117"/>
      <c r="Y40" s="135"/>
      <c r="Z40" s="135"/>
      <c r="AA40" s="137"/>
      <c r="AB40" s="115"/>
      <c r="AC40" s="135"/>
      <c r="AD40" s="135"/>
      <c r="AE40" s="135"/>
      <c r="AF40" s="135"/>
      <c r="AG40" s="135"/>
      <c r="AH40" s="137"/>
      <c r="AI40" s="115"/>
      <c r="AJ40" s="117"/>
      <c r="AK40" s="117"/>
      <c r="AL40" s="117"/>
      <c r="AM40" s="117"/>
      <c r="AN40" s="117"/>
      <c r="AO40" s="121"/>
      <c r="AP40" s="115"/>
      <c r="AQ40" s="117"/>
      <c r="AR40" s="117"/>
      <c r="AS40" s="117"/>
      <c r="AT40" s="117"/>
      <c r="AU40" s="117"/>
      <c r="AV40" s="121"/>
      <c r="AW40" s="115"/>
      <c r="AX40" s="117"/>
      <c r="AY40" s="117"/>
      <c r="AZ40" s="117"/>
      <c r="BA40" s="117"/>
      <c r="BB40" s="117"/>
      <c r="BC40" s="121"/>
      <c r="BD40" s="115"/>
      <c r="BE40" s="117"/>
      <c r="BF40" s="117"/>
      <c r="BG40" s="117"/>
      <c r="BH40" s="117"/>
      <c r="BI40" s="117"/>
      <c r="BJ40" s="121"/>
      <c r="BK40" s="115"/>
      <c r="BL40" s="117"/>
      <c r="BM40" s="117"/>
      <c r="BN40" s="117"/>
      <c r="BO40" s="117"/>
      <c r="BP40" s="135"/>
      <c r="BQ40" s="137"/>
    </row>
    <row r="41" ht="15.0" customHeight="1">
      <c r="A41" s="3" t="str">
        <f>'D2'!D40</f>
        <v/>
      </c>
      <c r="B41" s="107">
        <f t="shared" si="2"/>
        <v>37</v>
      </c>
      <c r="C41" s="145" t="str">
        <f>'D2'!C40</f>
        <v/>
      </c>
      <c r="D41" s="145" t="str">
        <f>'D2'!F40</f>
        <v/>
      </c>
      <c r="E41" s="145" t="str">
        <f>'D2'!G40</f>
        <v/>
      </c>
      <c r="F41" s="112" t="str">
        <f>'D2'!I40</f>
        <v/>
      </c>
      <c r="G41" s="115"/>
      <c r="H41" s="117"/>
      <c r="I41" s="117"/>
      <c r="J41" s="117"/>
      <c r="K41" s="117"/>
      <c r="L41" s="117"/>
      <c r="M41" s="168"/>
      <c r="N41" s="115"/>
      <c r="O41" s="117"/>
      <c r="P41" s="117"/>
      <c r="Q41" s="117"/>
      <c r="R41" s="117"/>
      <c r="S41" s="117"/>
      <c r="T41" s="160"/>
      <c r="U41" s="115"/>
      <c r="V41" s="117"/>
      <c r="W41" s="117"/>
      <c r="X41" s="117"/>
      <c r="Y41" s="117"/>
      <c r="Z41" s="117"/>
      <c r="AA41" s="137"/>
      <c r="AB41" s="115"/>
      <c r="AC41" s="117"/>
      <c r="AD41" s="117"/>
      <c r="AE41" s="117"/>
      <c r="AF41" s="117"/>
      <c r="AG41" s="135"/>
      <c r="AH41" s="137"/>
      <c r="AI41" s="115"/>
      <c r="AJ41" s="117"/>
      <c r="AK41" s="117"/>
      <c r="AL41" s="117"/>
      <c r="AM41" s="117"/>
      <c r="AN41" s="117"/>
      <c r="AO41" s="121"/>
      <c r="AP41" s="115"/>
      <c r="AQ41" s="117"/>
      <c r="AR41" s="117"/>
      <c r="AS41" s="117"/>
      <c r="AT41" s="117"/>
      <c r="AU41" s="117"/>
      <c r="AV41" s="121"/>
      <c r="AW41" s="115"/>
      <c r="AX41" s="117"/>
      <c r="AY41" s="117"/>
      <c r="AZ41" s="117"/>
      <c r="BA41" s="117"/>
      <c r="BB41" s="117"/>
      <c r="BC41" s="121"/>
      <c r="BD41" s="115"/>
      <c r="BE41" s="117"/>
      <c r="BF41" s="117"/>
      <c r="BG41" s="117"/>
      <c r="BH41" s="117"/>
      <c r="BI41" s="117"/>
      <c r="BJ41" s="121"/>
      <c r="BK41" s="115"/>
      <c r="BL41" s="117"/>
      <c r="BM41" s="117"/>
      <c r="BN41" s="117"/>
      <c r="BO41" s="117"/>
      <c r="BP41" s="135"/>
      <c r="BQ41" s="137"/>
    </row>
    <row r="42" ht="15.0" customHeight="1">
      <c r="A42" s="3" t="str">
        <f>'D2'!D41</f>
        <v/>
      </c>
      <c r="B42" s="107">
        <f t="shared" si="2"/>
        <v>38</v>
      </c>
      <c r="C42" s="145" t="str">
        <f>'D2'!C41</f>
        <v/>
      </c>
      <c r="D42" s="145" t="str">
        <f>'D2'!F41</f>
        <v/>
      </c>
      <c r="E42" s="145" t="str">
        <f>'D2'!G41</f>
        <v/>
      </c>
      <c r="F42" s="112" t="str">
        <f>'D2'!I41</f>
        <v/>
      </c>
      <c r="G42" s="115"/>
      <c r="H42" s="117"/>
      <c r="I42" s="117"/>
      <c r="J42" s="117"/>
      <c r="K42" s="134"/>
      <c r="L42" s="117"/>
      <c r="M42" s="121"/>
      <c r="N42" s="115"/>
      <c r="O42" s="117"/>
      <c r="P42" s="171"/>
      <c r="Q42" s="171"/>
      <c r="R42" s="171"/>
      <c r="S42" s="171"/>
      <c r="T42" s="137"/>
      <c r="U42" s="154"/>
      <c r="V42" s="135"/>
      <c r="W42" s="117"/>
      <c r="X42" s="135"/>
      <c r="Y42" s="135"/>
      <c r="Z42" s="117"/>
      <c r="AA42" s="137"/>
      <c r="AB42" s="154"/>
      <c r="AC42" s="135"/>
      <c r="AD42" s="117"/>
      <c r="AE42" s="135"/>
      <c r="AF42" s="135"/>
      <c r="AG42" s="117"/>
      <c r="AH42" s="137"/>
      <c r="AI42" s="154"/>
      <c r="AJ42" s="117"/>
      <c r="AK42" s="135"/>
      <c r="AL42" s="135"/>
      <c r="AM42" s="117"/>
      <c r="AN42" s="135"/>
      <c r="AO42" s="137"/>
      <c r="AP42" s="154"/>
      <c r="AQ42" s="135"/>
      <c r="AR42" s="117"/>
      <c r="AS42" s="135"/>
      <c r="AT42" s="117"/>
      <c r="AU42" s="135"/>
      <c r="AV42" s="137"/>
      <c r="AW42" s="154"/>
      <c r="AX42" s="135"/>
      <c r="AY42" s="117"/>
      <c r="AZ42" s="135"/>
      <c r="BA42" s="135"/>
      <c r="BB42" s="117"/>
      <c r="BC42" s="137"/>
      <c r="BD42" s="154"/>
      <c r="BE42" s="135"/>
      <c r="BF42" s="117"/>
      <c r="BG42" s="135"/>
      <c r="BH42" s="135"/>
      <c r="BI42" s="117"/>
      <c r="BJ42" s="137"/>
      <c r="BK42" s="154"/>
      <c r="BL42" s="117"/>
      <c r="BM42" s="135"/>
      <c r="BN42" s="117"/>
      <c r="BO42" s="135"/>
      <c r="BP42" s="135"/>
      <c r="BQ42" s="137"/>
    </row>
    <row r="43" ht="15.0" customHeight="1">
      <c r="A43" s="3" t="str">
        <f>'D2'!D42</f>
        <v/>
      </c>
      <c r="B43" s="107">
        <f t="shared" si="2"/>
        <v>39</v>
      </c>
      <c r="C43" s="145" t="str">
        <f>'D2'!C42</f>
        <v/>
      </c>
      <c r="D43" s="145" t="str">
        <f>'D2'!F42</f>
        <v/>
      </c>
      <c r="E43" s="145" t="str">
        <f>'D2'!G42</f>
        <v/>
      </c>
      <c r="F43" s="112" t="str">
        <f>'D2'!I42</f>
        <v/>
      </c>
      <c r="G43" s="169"/>
      <c r="H43" s="134"/>
      <c r="I43" s="117"/>
      <c r="J43" s="117"/>
      <c r="K43" s="117"/>
      <c r="L43" s="134"/>
      <c r="M43" s="160"/>
      <c r="N43" s="115"/>
      <c r="O43" s="117"/>
      <c r="P43" s="117"/>
      <c r="Q43" s="134"/>
      <c r="R43" s="134"/>
      <c r="S43" s="134"/>
      <c r="T43" s="137"/>
      <c r="U43" s="115"/>
      <c r="V43" s="117"/>
      <c r="W43" s="117"/>
      <c r="X43" s="117"/>
      <c r="Y43" s="117"/>
      <c r="Z43" s="117"/>
      <c r="AA43" s="121"/>
      <c r="AB43" s="115"/>
      <c r="AC43" s="117"/>
      <c r="AD43" s="117"/>
      <c r="AE43" s="117"/>
      <c r="AF43" s="117"/>
      <c r="AG43" s="117"/>
      <c r="AH43" s="121"/>
      <c r="AI43" s="115"/>
      <c r="AJ43" s="117"/>
      <c r="AK43" s="117"/>
      <c r="AL43" s="117"/>
      <c r="AM43" s="117"/>
      <c r="AN43" s="117"/>
      <c r="AO43" s="121"/>
      <c r="AP43" s="115"/>
      <c r="AQ43" s="117"/>
      <c r="AR43" s="135"/>
      <c r="AS43" s="117"/>
      <c r="AT43" s="117"/>
      <c r="AU43" s="117"/>
      <c r="AV43" s="121"/>
      <c r="AW43" s="115"/>
      <c r="AX43" s="117"/>
      <c r="AY43" s="117"/>
      <c r="AZ43" s="117"/>
      <c r="BA43" s="135"/>
      <c r="BB43" s="135"/>
      <c r="BC43" s="137"/>
      <c r="BD43" s="115"/>
      <c r="BE43" s="117"/>
      <c r="BF43" s="117"/>
      <c r="BG43" s="117"/>
      <c r="BH43" s="117"/>
      <c r="BI43" s="117"/>
      <c r="BJ43" s="121"/>
      <c r="BK43" s="115"/>
      <c r="BL43" s="117"/>
      <c r="BM43" s="117"/>
      <c r="BN43" s="117"/>
      <c r="BO43" s="117"/>
      <c r="BP43" s="135"/>
      <c r="BQ43" s="137"/>
    </row>
    <row r="44" ht="15.0" customHeight="1">
      <c r="A44" s="3" t="str">
        <f>'D2'!D43</f>
        <v/>
      </c>
      <c r="B44" s="107">
        <f t="shared" si="2"/>
        <v>40</v>
      </c>
      <c r="C44" s="145" t="str">
        <f>'D2'!C43</f>
        <v/>
      </c>
      <c r="D44" s="145" t="str">
        <f>'D2'!F43</f>
        <v/>
      </c>
      <c r="E44" s="145" t="str">
        <f>'D2'!G43</f>
        <v/>
      </c>
      <c r="F44" s="112" t="str">
        <f>'D2'!I43</f>
        <v/>
      </c>
      <c r="G44" s="115"/>
      <c r="H44" s="117"/>
      <c r="I44" s="117"/>
      <c r="J44" s="117"/>
      <c r="K44" s="134"/>
      <c r="L44" s="117"/>
      <c r="M44" s="121"/>
      <c r="N44" s="115"/>
      <c r="O44" s="117"/>
      <c r="P44" s="117"/>
      <c r="Q44" s="117"/>
      <c r="R44" s="117"/>
      <c r="S44" s="117"/>
      <c r="T44" s="168"/>
      <c r="U44" s="115"/>
      <c r="V44" s="117"/>
      <c r="W44" s="117"/>
      <c r="X44" s="117"/>
      <c r="Y44" s="117"/>
      <c r="Z44" s="135"/>
      <c r="AA44" s="121"/>
      <c r="AB44" s="115"/>
      <c r="AC44" s="117"/>
      <c r="AD44" s="117"/>
      <c r="AE44" s="117"/>
      <c r="AF44" s="117"/>
      <c r="AG44" s="117"/>
      <c r="AH44" s="121"/>
      <c r="AI44" s="115"/>
      <c r="AJ44" s="117"/>
      <c r="AK44" s="117"/>
      <c r="AL44" s="117"/>
      <c r="AM44" s="117"/>
      <c r="AN44" s="117"/>
      <c r="AO44" s="121"/>
      <c r="AP44" s="115"/>
      <c r="AQ44" s="117"/>
      <c r="AR44" s="135"/>
      <c r="AS44" s="117"/>
      <c r="AT44" s="117"/>
      <c r="AU44" s="117"/>
      <c r="AV44" s="121"/>
      <c r="AW44" s="115"/>
      <c r="AX44" s="117"/>
      <c r="AY44" s="117"/>
      <c r="AZ44" s="117"/>
      <c r="BA44" s="135"/>
      <c r="BB44" s="135"/>
      <c r="BC44" s="137"/>
      <c r="BD44" s="115"/>
      <c r="BE44" s="117"/>
      <c r="BF44" s="117"/>
      <c r="BG44" s="117"/>
      <c r="BH44" s="117"/>
      <c r="BI44" s="117"/>
      <c r="BJ44" s="121"/>
      <c r="BK44" s="115"/>
      <c r="BL44" s="117"/>
      <c r="BM44" s="117"/>
      <c r="BN44" s="117"/>
      <c r="BO44" s="117"/>
      <c r="BP44" s="135"/>
      <c r="BQ44" s="137"/>
    </row>
    <row r="45" ht="15.0" customHeight="1">
      <c r="A45" s="3" t="str">
        <f>'D2'!D44</f>
        <v/>
      </c>
      <c r="B45" s="107">
        <f t="shared" si="2"/>
        <v>41</v>
      </c>
      <c r="C45" s="145" t="str">
        <f>'D2'!C44</f>
        <v/>
      </c>
      <c r="D45" s="145" t="str">
        <f>'D2'!F44</f>
        <v/>
      </c>
      <c r="E45" s="145" t="str">
        <f>'D2'!G44</f>
        <v/>
      </c>
      <c r="F45" s="112" t="str">
        <f>'D2'!I44</f>
        <v/>
      </c>
      <c r="G45" s="169"/>
      <c r="H45" s="134"/>
      <c r="I45" s="134"/>
      <c r="J45" s="134"/>
      <c r="K45" s="135"/>
      <c r="L45" s="135"/>
      <c r="M45" s="137"/>
      <c r="N45" s="115"/>
      <c r="O45" s="117"/>
      <c r="P45" s="117"/>
      <c r="Q45" s="171"/>
      <c r="R45" s="171"/>
      <c r="S45" s="171"/>
      <c r="T45" s="168"/>
      <c r="U45" s="154"/>
      <c r="V45" s="135"/>
      <c r="W45" s="135"/>
      <c r="X45" s="135"/>
      <c r="Y45" s="135"/>
      <c r="Z45" s="135"/>
      <c r="AA45" s="137"/>
      <c r="AB45" s="154"/>
      <c r="AC45" s="135"/>
      <c r="AD45" s="135"/>
      <c r="AE45" s="135"/>
      <c r="AF45" s="135"/>
      <c r="AG45" s="135"/>
      <c r="AH45" s="137"/>
      <c r="AI45" s="154"/>
      <c r="AJ45" s="135"/>
      <c r="AK45" s="135"/>
      <c r="AL45" s="135"/>
      <c r="AM45" s="135"/>
      <c r="AN45" s="135"/>
      <c r="AO45" s="137"/>
      <c r="AP45" s="154"/>
      <c r="AQ45" s="135"/>
      <c r="AR45" s="135"/>
      <c r="AS45" s="135"/>
      <c r="AT45" s="135"/>
      <c r="AU45" s="135"/>
      <c r="AV45" s="137"/>
      <c r="AW45" s="154"/>
      <c r="AX45" s="135"/>
      <c r="AY45" s="135"/>
      <c r="AZ45" s="135"/>
      <c r="BA45" s="135"/>
      <c r="BB45" s="135"/>
      <c r="BC45" s="137"/>
      <c r="BD45" s="154"/>
      <c r="BE45" s="135"/>
      <c r="BF45" s="135"/>
      <c r="BG45" s="135"/>
      <c r="BH45" s="135"/>
      <c r="BI45" s="135"/>
      <c r="BJ45" s="137"/>
      <c r="BK45" s="154"/>
      <c r="BL45" s="135"/>
      <c r="BM45" s="135"/>
      <c r="BN45" s="135"/>
      <c r="BO45" s="135"/>
      <c r="BP45" s="135"/>
      <c r="BQ45" s="137"/>
    </row>
    <row r="46" ht="15.0" customHeight="1">
      <c r="A46" s="3" t="str">
        <f>'D2'!D45</f>
        <v/>
      </c>
      <c r="B46" s="107">
        <f t="shared" si="2"/>
        <v>42</v>
      </c>
      <c r="C46" s="145" t="str">
        <f>'D2'!C45</f>
        <v/>
      </c>
      <c r="D46" s="145" t="str">
        <f>'D2'!F45</f>
        <v/>
      </c>
      <c r="E46" s="145" t="str">
        <f>'D2'!G45</f>
        <v/>
      </c>
      <c r="F46" s="112" t="str">
        <f>'D2'!I45</f>
        <v/>
      </c>
      <c r="G46" s="154"/>
      <c r="H46" s="135"/>
      <c r="I46" s="134"/>
      <c r="J46" s="134"/>
      <c r="K46" s="134"/>
      <c r="L46" s="134"/>
      <c r="M46" s="160"/>
      <c r="N46" s="115"/>
      <c r="O46" s="117"/>
      <c r="P46" s="117"/>
      <c r="Q46" s="117"/>
      <c r="R46" s="117"/>
      <c r="S46" s="117"/>
      <c r="T46" s="121"/>
      <c r="U46" s="115"/>
      <c r="V46" s="135"/>
      <c r="W46" s="117"/>
      <c r="X46" s="117"/>
      <c r="Y46" s="117"/>
      <c r="Z46" s="117"/>
      <c r="AA46" s="121"/>
      <c r="AB46" s="115"/>
      <c r="AC46" s="117"/>
      <c r="AD46" s="117"/>
      <c r="AE46" s="117"/>
      <c r="AF46" s="117"/>
      <c r="AG46" s="117"/>
      <c r="AH46" s="121"/>
      <c r="AI46" s="115"/>
      <c r="AJ46" s="117"/>
      <c r="AK46" s="117"/>
      <c r="AL46" s="117"/>
      <c r="AM46" s="117"/>
      <c r="AN46" s="117"/>
      <c r="AO46" s="121"/>
      <c r="AP46" s="115"/>
      <c r="AQ46" s="117"/>
      <c r="AR46" s="117"/>
      <c r="AS46" s="117"/>
      <c r="AT46" s="117"/>
      <c r="AU46" s="117"/>
      <c r="AV46" s="121"/>
      <c r="AW46" s="115"/>
      <c r="AX46" s="117"/>
      <c r="AY46" s="117"/>
      <c r="AZ46" s="117"/>
      <c r="BA46" s="117"/>
      <c r="BB46" s="117"/>
      <c r="BC46" s="121"/>
      <c r="BD46" s="115"/>
      <c r="BE46" s="117"/>
      <c r="BF46" s="117"/>
      <c r="BG46" s="117"/>
      <c r="BH46" s="117"/>
      <c r="BI46" s="117"/>
      <c r="BJ46" s="121"/>
      <c r="BK46" s="115"/>
      <c r="BL46" s="117"/>
      <c r="BM46" s="117"/>
      <c r="BN46" s="117"/>
      <c r="BO46" s="117"/>
      <c r="BP46" s="135"/>
      <c r="BQ46" s="137"/>
    </row>
    <row r="47" ht="15.0" customHeight="1">
      <c r="A47" s="3" t="str">
        <f>'D2'!D46</f>
        <v/>
      </c>
      <c r="B47" s="107">
        <f t="shared" si="2"/>
        <v>43</v>
      </c>
      <c r="C47" s="145" t="str">
        <f>'D2'!C46</f>
        <v/>
      </c>
      <c r="D47" s="145" t="str">
        <f>'D2'!F46</f>
        <v/>
      </c>
      <c r="E47" s="145" t="str">
        <f>'D2'!G46</f>
        <v/>
      </c>
      <c r="F47" s="112" t="str">
        <f>'D2'!I46</f>
        <v/>
      </c>
      <c r="G47" s="169"/>
      <c r="H47" s="134"/>
      <c r="I47" s="134"/>
      <c r="J47" s="134"/>
      <c r="K47" s="135"/>
      <c r="L47" s="135"/>
      <c r="M47" s="137"/>
      <c r="N47" s="115"/>
      <c r="O47" s="117"/>
      <c r="P47" s="117"/>
      <c r="Q47" s="117"/>
      <c r="R47" s="134"/>
      <c r="S47" s="134"/>
      <c r="T47" s="160"/>
      <c r="U47" s="115"/>
      <c r="V47" s="117"/>
      <c r="W47" s="135"/>
      <c r="X47" s="117"/>
      <c r="Y47" s="117"/>
      <c r="Z47" s="117"/>
      <c r="AA47" s="121"/>
      <c r="AB47" s="115"/>
      <c r="AC47" s="117"/>
      <c r="AD47" s="117"/>
      <c r="AE47" s="117"/>
      <c r="AF47" s="117"/>
      <c r="AG47" s="117"/>
      <c r="AH47" s="121"/>
      <c r="AI47" s="115"/>
      <c r="AJ47" s="117"/>
      <c r="AK47" s="117"/>
      <c r="AL47" s="117"/>
      <c r="AM47" s="117"/>
      <c r="AN47" s="117"/>
      <c r="AO47" s="121"/>
      <c r="AP47" s="115"/>
      <c r="AQ47" s="117"/>
      <c r="AR47" s="117"/>
      <c r="AS47" s="117"/>
      <c r="AT47" s="117"/>
      <c r="AU47" s="117"/>
      <c r="AV47" s="121"/>
      <c r="AW47" s="115"/>
      <c r="AX47" s="117"/>
      <c r="AY47" s="117"/>
      <c r="AZ47" s="117"/>
      <c r="BA47" s="117"/>
      <c r="BB47" s="117"/>
      <c r="BC47" s="121"/>
      <c r="BD47" s="115"/>
      <c r="BE47" s="117"/>
      <c r="BF47" s="117"/>
      <c r="BG47" s="117"/>
      <c r="BH47" s="117"/>
      <c r="BI47" s="117"/>
      <c r="BJ47" s="121"/>
      <c r="BK47" s="115"/>
      <c r="BL47" s="117"/>
      <c r="BM47" s="117"/>
      <c r="BN47" s="117"/>
      <c r="BO47" s="117"/>
      <c r="BP47" s="135"/>
      <c r="BQ47" s="137"/>
    </row>
    <row r="48" ht="15.0" customHeight="1">
      <c r="A48" s="3" t="str">
        <f>'D2'!D47</f>
        <v/>
      </c>
      <c r="B48" s="107">
        <f t="shared" si="2"/>
        <v>44</v>
      </c>
      <c r="C48" s="145" t="str">
        <f>'D2'!C47</f>
        <v/>
      </c>
      <c r="D48" s="145" t="str">
        <f>'D2'!F47</f>
        <v/>
      </c>
      <c r="E48" s="145" t="str">
        <f>'D2'!G47</f>
        <v/>
      </c>
      <c r="F48" s="112" t="str">
        <f>'D2'!I47</f>
        <v/>
      </c>
      <c r="G48" s="154"/>
      <c r="H48" s="135"/>
      <c r="I48" s="135"/>
      <c r="J48" s="135"/>
      <c r="K48" s="135"/>
      <c r="L48" s="135"/>
      <c r="M48" s="137"/>
      <c r="N48" s="115"/>
      <c r="O48" s="117"/>
      <c r="P48" s="117"/>
      <c r="Q48" s="117"/>
      <c r="R48" s="117"/>
      <c r="S48" s="134"/>
      <c r="T48" s="160"/>
      <c r="U48" s="154"/>
      <c r="V48" s="135"/>
      <c r="W48" s="135"/>
      <c r="X48" s="135"/>
      <c r="Y48" s="135"/>
      <c r="Z48" s="135"/>
      <c r="AA48" s="137"/>
      <c r="AB48" s="154"/>
      <c r="AC48" s="135"/>
      <c r="AD48" s="135"/>
      <c r="AE48" s="135"/>
      <c r="AF48" s="135"/>
      <c r="AG48" s="135"/>
      <c r="AH48" s="137"/>
      <c r="AI48" s="154"/>
      <c r="AJ48" s="135"/>
      <c r="AK48" s="135"/>
      <c r="AL48" s="135"/>
      <c r="AM48" s="135"/>
      <c r="AN48" s="135"/>
      <c r="AO48" s="137"/>
      <c r="AP48" s="154"/>
      <c r="AQ48" s="135"/>
      <c r="AR48" s="135"/>
      <c r="AS48" s="135"/>
      <c r="AT48" s="135"/>
      <c r="AU48" s="135"/>
      <c r="AV48" s="137"/>
      <c r="AW48" s="154"/>
      <c r="AX48" s="135"/>
      <c r="AY48" s="135"/>
      <c r="AZ48" s="135"/>
      <c r="BA48" s="135"/>
      <c r="BB48" s="135"/>
      <c r="BC48" s="137"/>
      <c r="BD48" s="154"/>
      <c r="BE48" s="135"/>
      <c r="BF48" s="135"/>
      <c r="BG48" s="135"/>
      <c r="BH48" s="135"/>
      <c r="BI48" s="135"/>
      <c r="BJ48" s="137"/>
      <c r="BK48" s="154"/>
      <c r="BL48" s="135"/>
      <c r="BM48" s="135"/>
      <c r="BN48" s="135"/>
      <c r="BO48" s="135"/>
      <c r="BP48" s="135"/>
      <c r="BQ48" s="137"/>
    </row>
    <row r="49" ht="15.0" customHeight="1">
      <c r="A49" s="3" t="str">
        <f>'D2'!D48</f>
        <v/>
      </c>
      <c r="B49" s="107">
        <f t="shared" si="2"/>
        <v>45</v>
      </c>
      <c r="C49" s="145" t="str">
        <f>'D2'!C48</f>
        <v/>
      </c>
      <c r="D49" s="145" t="str">
        <f>'D2'!F48</f>
        <v/>
      </c>
      <c r="E49" s="145" t="str">
        <f>'D2'!G48</f>
        <v/>
      </c>
      <c r="F49" s="112" t="str">
        <f>'D2'!I48</f>
        <v/>
      </c>
      <c r="G49" s="154"/>
      <c r="H49" s="135"/>
      <c r="I49" s="135"/>
      <c r="J49" s="135"/>
      <c r="K49" s="171"/>
      <c r="L49" s="171"/>
      <c r="M49" s="137"/>
      <c r="N49" s="115"/>
      <c r="O49" s="117"/>
      <c r="P49" s="117"/>
      <c r="Q49" s="117"/>
      <c r="R49" s="171"/>
      <c r="S49" s="171"/>
      <c r="T49" s="168"/>
      <c r="U49" s="154"/>
      <c r="V49" s="135"/>
      <c r="W49" s="135"/>
      <c r="X49" s="135"/>
      <c r="Y49" s="135"/>
      <c r="Z49" s="135"/>
      <c r="AA49" s="137"/>
      <c r="AB49" s="154"/>
      <c r="AC49" s="135"/>
      <c r="AD49" s="135"/>
      <c r="AE49" s="135"/>
      <c r="AF49" s="135"/>
      <c r="AG49" s="135"/>
      <c r="AH49" s="137"/>
      <c r="AI49" s="154"/>
      <c r="AJ49" s="135"/>
      <c r="AK49" s="135"/>
      <c r="AL49" s="135"/>
      <c r="AM49" s="135"/>
      <c r="AN49" s="135"/>
      <c r="AO49" s="137"/>
      <c r="AP49" s="154"/>
      <c r="AQ49" s="135"/>
      <c r="AR49" s="135"/>
      <c r="AS49" s="135"/>
      <c r="AT49" s="135"/>
      <c r="AU49" s="135"/>
      <c r="AV49" s="137"/>
      <c r="AW49" s="154"/>
      <c r="AX49" s="135"/>
      <c r="AY49" s="135"/>
      <c r="AZ49" s="135"/>
      <c r="BA49" s="135"/>
      <c r="BB49" s="135"/>
      <c r="BC49" s="137"/>
      <c r="BD49" s="154"/>
      <c r="BE49" s="135"/>
      <c r="BF49" s="135"/>
      <c r="BG49" s="135"/>
      <c r="BH49" s="135"/>
      <c r="BI49" s="135"/>
      <c r="BJ49" s="137"/>
      <c r="BK49" s="154"/>
      <c r="BL49" s="135"/>
      <c r="BM49" s="135"/>
      <c r="BN49" s="135"/>
      <c r="BO49" s="135"/>
      <c r="BP49" s="135"/>
      <c r="BQ49" s="137"/>
    </row>
    <row r="50" ht="15.0" customHeight="1">
      <c r="A50" s="3" t="str">
        <f>'D2'!D49</f>
        <v/>
      </c>
      <c r="B50" s="107">
        <f t="shared" si="2"/>
        <v>46</v>
      </c>
      <c r="C50" s="145" t="str">
        <f>'D2'!C49</f>
        <v/>
      </c>
      <c r="D50" s="145" t="str">
        <f>'D2'!F49</f>
        <v/>
      </c>
      <c r="E50" s="145" t="str">
        <f>'D2'!G49</f>
        <v/>
      </c>
      <c r="F50" s="112" t="str">
        <f>'D2'!I49</f>
        <v/>
      </c>
      <c r="G50" s="170"/>
      <c r="H50" s="171"/>
      <c r="I50" s="171"/>
      <c r="J50" s="171"/>
      <c r="K50" s="171"/>
      <c r="L50" s="171"/>
      <c r="M50" s="168"/>
      <c r="N50" s="115"/>
      <c r="O50" s="117"/>
      <c r="P50" s="117"/>
      <c r="Q50" s="117"/>
      <c r="R50" s="117"/>
      <c r="S50" s="171"/>
      <c r="T50" s="168"/>
      <c r="U50" s="154"/>
      <c r="V50" s="135"/>
      <c r="W50" s="117"/>
      <c r="X50" s="117"/>
      <c r="Y50" s="135"/>
      <c r="Z50" s="135"/>
      <c r="AA50" s="137"/>
      <c r="AB50" s="154"/>
      <c r="AC50" s="135"/>
      <c r="AD50" s="135"/>
      <c r="AE50" s="135"/>
      <c r="AF50" s="135"/>
      <c r="AG50" s="135"/>
      <c r="AH50" s="137"/>
      <c r="AI50" s="154"/>
      <c r="AJ50" s="135"/>
      <c r="AK50" s="135"/>
      <c r="AL50" s="135"/>
      <c r="AM50" s="135"/>
      <c r="AN50" s="135"/>
      <c r="AO50" s="137"/>
      <c r="AP50" s="154"/>
      <c r="AQ50" s="135"/>
      <c r="AR50" s="135"/>
      <c r="AS50" s="135"/>
      <c r="AT50" s="135"/>
      <c r="AU50" s="135"/>
      <c r="AV50" s="137"/>
      <c r="AW50" s="135"/>
      <c r="AX50" s="135"/>
      <c r="AY50" s="135"/>
      <c r="AZ50" s="135"/>
      <c r="BA50" s="135"/>
      <c r="BB50" s="135"/>
      <c r="BC50" s="137"/>
      <c r="BD50" s="154"/>
      <c r="BE50" s="135"/>
      <c r="BF50" s="135"/>
      <c r="BG50" s="135"/>
      <c r="BH50" s="135"/>
      <c r="BI50" s="135"/>
      <c r="BJ50" s="137"/>
      <c r="BK50" s="154"/>
      <c r="BL50" s="135"/>
      <c r="BM50" s="135"/>
      <c r="BN50" s="135"/>
      <c r="BO50" s="135"/>
      <c r="BP50" s="135"/>
      <c r="BQ50" s="137"/>
    </row>
    <row r="51" ht="15.0" customHeight="1">
      <c r="A51" s="3" t="str">
        <f>'D2'!D50</f>
        <v/>
      </c>
      <c r="B51" s="107">
        <f t="shared" si="2"/>
        <v>47</v>
      </c>
      <c r="C51" s="145" t="str">
        <f>'D2'!C50</f>
        <v/>
      </c>
      <c r="D51" s="145" t="str">
        <f>'D2'!F50</f>
        <v/>
      </c>
      <c r="E51" s="145" t="str">
        <f>'D2'!G50</f>
        <v/>
      </c>
      <c r="F51" s="112" t="str">
        <f>'D2'!I50</f>
        <v/>
      </c>
      <c r="G51" s="154"/>
      <c r="H51" s="135"/>
      <c r="I51" s="135"/>
      <c r="J51" s="135"/>
      <c r="K51" s="117"/>
      <c r="L51" s="117"/>
      <c r="M51" s="137"/>
      <c r="N51" s="169"/>
      <c r="O51" s="134"/>
      <c r="P51" s="134"/>
      <c r="Q51" s="134"/>
      <c r="R51" s="134"/>
      <c r="S51" s="134"/>
      <c r="T51" s="160"/>
      <c r="U51" s="115"/>
      <c r="V51" s="117"/>
      <c r="W51" s="117"/>
      <c r="X51" s="117"/>
      <c r="Y51" s="117"/>
      <c r="Z51" s="117"/>
      <c r="AA51" s="121"/>
      <c r="AB51" s="115"/>
      <c r="AC51" s="117"/>
      <c r="AD51" s="117"/>
      <c r="AE51" s="117"/>
      <c r="AF51" s="117"/>
      <c r="AG51" s="117"/>
      <c r="AH51" s="121"/>
      <c r="AI51" s="115"/>
      <c r="AJ51" s="117"/>
      <c r="AK51" s="117"/>
      <c r="AL51" s="117"/>
      <c r="AM51" s="117"/>
      <c r="AN51" s="117"/>
      <c r="AO51" s="121"/>
      <c r="AP51" s="115"/>
      <c r="AQ51" s="117"/>
      <c r="AR51" s="117"/>
      <c r="AS51" s="117"/>
      <c r="AT51" s="117"/>
      <c r="AU51" s="117"/>
      <c r="AV51" s="121"/>
      <c r="AW51" s="115"/>
      <c r="AX51" s="117"/>
      <c r="AY51" s="117"/>
      <c r="AZ51" s="117"/>
      <c r="BA51" s="117"/>
      <c r="BB51" s="117"/>
      <c r="BC51" s="121"/>
      <c r="BD51" s="115"/>
      <c r="BE51" s="117"/>
      <c r="BF51" s="117"/>
      <c r="BG51" s="117"/>
      <c r="BH51" s="117"/>
      <c r="BI51" s="117"/>
      <c r="BJ51" s="121"/>
      <c r="BK51" s="115"/>
      <c r="BL51" s="117"/>
      <c r="BM51" s="117"/>
      <c r="BN51" s="117"/>
      <c r="BO51" s="117"/>
      <c r="BP51" s="135"/>
      <c r="BQ51" s="137"/>
    </row>
    <row r="52" ht="15.0" customHeight="1">
      <c r="A52" s="3" t="str">
        <f>'D2'!D51</f>
        <v/>
      </c>
      <c r="B52" s="107">
        <f t="shared" si="2"/>
        <v>48</v>
      </c>
      <c r="C52" s="145" t="str">
        <f>'D2'!C51</f>
        <v/>
      </c>
      <c r="D52" s="145" t="str">
        <f>'D2'!F51</f>
        <v/>
      </c>
      <c r="E52" s="145" t="str">
        <f>'D2'!G51</f>
        <v/>
      </c>
      <c r="F52" s="112" t="str">
        <f>'D2'!I51</f>
        <v/>
      </c>
      <c r="G52" s="169"/>
      <c r="H52" s="134"/>
      <c r="I52" s="134"/>
      <c r="J52" s="134"/>
      <c r="K52" s="117"/>
      <c r="L52" s="117"/>
      <c r="M52" s="160"/>
      <c r="N52" s="169"/>
      <c r="O52" s="134"/>
      <c r="P52" s="134"/>
      <c r="Q52" s="134"/>
      <c r="R52" s="134"/>
      <c r="S52" s="134"/>
      <c r="T52" s="160"/>
      <c r="U52" s="115"/>
      <c r="V52" s="117"/>
      <c r="W52" s="117"/>
      <c r="X52" s="117"/>
      <c r="Y52" s="117"/>
      <c r="Z52" s="117"/>
      <c r="AA52" s="121"/>
      <c r="AB52" s="115"/>
      <c r="AC52" s="117"/>
      <c r="AD52" s="117"/>
      <c r="AE52" s="117"/>
      <c r="AF52" s="117"/>
      <c r="AG52" s="135"/>
      <c r="AH52" s="121"/>
      <c r="AI52" s="115"/>
      <c r="AJ52" s="117"/>
      <c r="AK52" s="117"/>
      <c r="AL52" s="117"/>
      <c r="AM52" s="117"/>
      <c r="AN52" s="117"/>
      <c r="AO52" s="121"/>
      <c r="AP52" s="154"/>
      <c r="AQ52" s="135"/>
      <c r="AR52" s="135"/>
      <c r="AS52" s="135"/>
      <c r="AT52" s="135"/>
      <c r="AU52" s="135"/>
      <c r="AV52" s="137"/>
      <c r="AW52" s="154"/>
      <c r="AX52" s="135"/>
      <c r="AY52" s="135"/>
      <c r="AZ52" s="135"/>
      <c r="BA52" s="135"/>
      <c r="BB52" s="135"/>
      <c r="BC52" s="137"/>
      <c r="BD52" s="154"/>
      <c r="BE52" s="135"/>
      <c r="BF52" s="135"/>
      <c r="BG52" s="135"/>
      <c r="BH52" s="135"/>
      <c r="BI52" s="135"/>
      <c r="BJ52" s="137"/>
      <c r="BK52" s="154"/>
      <c r="BL52" s="135"/>
      <c r="BM52" s="135"/>
      <c r="BN52" s="135"/>
      <c r="BO52" s="135"/>
      <c r="BP52" s="135"/>
      <c r="BQ52" s="137"/>
    </row>
    <row r="53" ht="15.0" customHeight="1">
      <c r="A53" s="3"/>
      <c r="B53" s="107">
        <f t="shared" si="2"/>
        <v>49</v>
      </c>
      <c r="C53" s="145" t="str">
        <f>'D2'!C52</f>
        <v/>
      </c>
      <c r="D53" s="145" t="str">
        <f>'D2'!F52</f>
        <v/>
      </c>
      <c r="E53" s="145" t="str">
        <f>'D2'!G52</f>
        <v/>
      </c>
      <c r="F53" s="112" t="str">
        <f>'D2'!I52</f>
        <v/>
      </c>
      <c r="G53" s="169"/>
      <c r="H53" s="134"/>
      <c r="I53" s="134"/>
      <c r="J53" s="134"/>
      <c r="K53" s="117"/>
      <c r="L53" s="117"/>
      <c r="M53" s="160"/>
      <c r="N53" s="169"/>
      <c r="O53" s="134"/>
      <c r="P53" s="134"/>
      <c r="Q53" s="134"/>
      <c r="R53" s="134"/>
      <c r="S53" s="134"/>
      <c r="T53" s="160"/>
      <c r="U53" s="115"/>
      <c r="V53" s="117"/>
      <c r="W53" s="117"/>
      <c r="X53" s="117"/>
      <c r="Y53" s="117"/>
      <c r="Z53" s="117"/>
      <c r="AA53" s="121"/>
      <c r="AB53" s="115"/>
      <c r="AC53" s="117"/>
      <c r="AD53" s="117"/>
      <c r="AE53" s="117"/>
      <c r="AF53" s="117"/>
      <c r="AG53" s="135"/>
      <c r="AH53" s="121"/>
      <c r="AI53" s="115"/>
      <c r="AJ53" s="117"/>
      <c r="AK53" s="117"/>
      <c r="AL53" s="117"/>
      <c r="AM53" s="117"/>
      <c r="AN53" s="117"/>
      <c r="AO53" s="121"/>
      <c r="AP53" s="154"/>
      <c r="AQ53" s="135"/>
      <c r="AR53" s="135"/>
      <c r="AS53" s="135"/>
      <c r="AT53" s="135"/>
      <c r="AU53" s="135"/>
      <c r="AV53" s="137"/>
      <c r="AW53" s="154"/>
      <c r="AX53" s="135"/>
      <c r="AY53" s="135"/>
      <c r="AZ53" s="135"/>
      <c r="BA53" s="135"/>
      <c r="BB53" s="135"/>
      <c r="BC53" s="137"/>
      <c r="BD53" s="154"/>
      <c r="BE53" s="135"/>
      <c r="BF53" s="135"/>
      <c r="BG53" s="135"/>
      <c r="BH53" s="135"/>
      <c r="BI53" s="135"/>
      <c r="BJ53" s="137"/>
      <c r="BK53" s="154"/>
      <c r="BL53" s="135"/>
      <c r="BM53" s="135"/>
      <c r="BN53" s="135"/>
      <c r="BO53" s="135"/>
      <c r="BP53" s="135"/>
      <c r="BQ53" s="137"/>
    </row>
    <row r="54" ht="15.0" customHeight="1">
      <c r="A54" s="3"/>
      <c r="B54" s="107">
        <f t="shared" si="2"/>
        <v>50</v>
      </c>
      <c r="C54" s="145" t="str">
        <f>'D2'!C53</f>
        <v/>
      </c>
      <c r="D54" s="145" t="str">
        <f>'D2'!F53</f>
        <v/>
      </c>
      <c r="E54" s="145" t="str">
        <f>'D2'!G53</f>
        <v/>
      </c>
      <c r="F54" s="112" t="str">
        <f>'D2'!I53</f>
        <v/>
      </c>
      <c r="G54" s="169"/>
      <c r="H54" s="134"/>
      <c r="I54" s="134"/>
      <c r="J54" s="134"/>
      <c r="K54" s="117"/>
      <c r="L54" s="117"/>
      <c r="M54" s="160"/>
      <c r="N54" s="169"/>
      <c r="O54" s="134"/>
      <c r="P54" s="134"/>
      <c r="Q54" s="134"/>
      <c r="R54" s="134"/>
      <c r="S54" s="134"/>
      <c r="T54" s="160"/>
      <c r="U54" s="115"/>
      <c r="V54" s="117"/>
      <c r="W54" s="117"/>
      <c r="X54" s="117"/>
      <c r="Y54" s="117"/>
      <c r="Z54" s="117"/>
      <c r="AA54" s="121"/>
      <c r="AB54" s="115"/>
      <c r="AC54" s="117"/>
      <c r="AD54" s="117"/>
      <c r="AE54" s="117"/>
      <c r="AF54" s="117"/>
      <c r="AG54" s="135"/>
      <c r="AH54" s="121"/>
      <c r="AI54" s="115"/>
      <c r="AJ54" s="117"/>
      <c r="AK54" s="117"/>
      <c r="AL54" s="117"/>
      <c r="AM54" s="117"/>
      <c r="AN54" s="117"/>
      <c r="AO54" s="121"/>
      <c r="AP54" s="154"/>
      <c r="AQ54" s="135"/>
      <c r="AR54" s="135"/>
      <c r="AS54" s="135"/>
      <c r="AT54" s="135"/>
      <c r="AU54" s="135"/>
      <c r="AV54" s="137"/>
      <c r="AW54" s="154"/>
      <c r="AX54" s="135"/>
      <c r="AY54" s="135"/>
      <c r="AZ54" s="135"/>
      <c r="BA54" s="135"/>
      <c r="BB54" s="135"/>
      <c r="BC54" s="137"/>
      <c r="BD54" s="154"/>
      <c r="BE54" s="135"/>
      <c r="BF54" s="135"/>
      <c r="BG54" s="135"/>
      <c r="BH54" s="135"/>
      <c r="BI54" s="135"/>
      <c r="BJ54" s="137"/>
      <c r="BK54" s="154"/>
      <c r="BL54" s="135"/>
      <c r="BM54" s="135"/>
      <c r="BN54" s="135"/>
      <c r="BO54" s="135"/>
      <c r="BP54" s="135"/>
      <c r="BQ54" s="137"/>
    </row>
    <row r="55" ht="15.0" customHeight="1">
      <c r="A55" s="3"/>
      <c r="B55" s="107">
        <f t="shared" si="2"/>
        <v>51</v>
      </c>
      <c r="C55" s="145" t="str">
        <f>'D2'!C54</f>
        <v/>
      </c>
      <c r="D55" s="145" t="str">
        <f>'D2'!F54</f>
        <v/>
      </c>
      <c r="E55" s="145" t="str">
        <f>'D2'!G54</f>
        <v/>
      </c>
      <c r="F55" s="112" t="str">
        <f>'D2'!I54</f>
        <v/>
      </c>
      <c r="G55" s="169"/>
      <c r="H55" s="134"/>
      <c r="I55" s="134"/>
      <c r="J55" s="134"/>
      <c r="K55" s="117"/>
      <c r="L55" s="117"/>
      <c r="M55" s="160"/>
      <c r="N55" s="169"/>
      <c r="O55" s="134"/>
      <c r="P55" s="134"/>
      <c r="Q55" s="134"/>
      <c r="R55" s="134"/>
      <c r="S55" s="134"/>
      <c r="T55" s="160"/>
      <c r="U55" s="115"/>
      <c r="V55" s="117"/>
      <c r="W55" s="117"/>
      <c r="X55" s="117"/>
      <c r="Y55" s="117"/>
      <c r="Z55" s="117"/>
      <c r="AA55" s="121"/>
      <c r="AB55" s="115"/>
      <c r="AC55" s="117"/>
      <c r="AD55" s="117"/>
      <c r="AE55" s="117"/>
      <c r="AF55" s="117"/>
      <c r="AG55" s="135"/>
      <c r="AH55" s="121"/>
      <c r="AI55" s="115"/>
      <c r="AJ55" s="117"/>
      <c r="AK55" s="117"/>
      <c r="AL55" s="117"/>
      <c r="AM55" s="117"/>
      <c r="AN55" s="117"/>
      <c r="AO55" s="121"/>
      <c r="AP55" s="154"/>
      <c r="AQ55" s="135"/>
      <c r="AR55" s="135"/>
      <c r="AS55" s="135"/>
      <c r="AT55" s="135"/>
      <c r="AU55" s="135"/>
      <c r="AV55" s="137"/>
      <c r="AW55" s="154"/>
      <c r="AX55" s="135"/>
      <c r="AY55" s="135"/>
      <c r="AZ55" s="135"/>
      <c r="BA55" s="135"/>
      <c r="BB55" s="135"/>
      <c r="BC55" s="137"/>
      <c r="BD55" s="154"/>
      <c r="BE55" s="135"/>
      <c r="BF55" s="135"/>
      <c r="BG55" s="135"/>
      <c r="BH55" s="135"/>
      <c r="BI55" s="135"/>
      <c r="BJ55" s="137"/>
      <c r="BK55" s="154"/>
      <c r="BL55" s="135"/>
      <c r="BM55" s="135"/>
      <c r="BN55" s="135"/>
      <c r="BO55" s="135"/>
      <c r="BP55" s="135"/>
      <c r="BQ55" s="137"/>
    </row>
    <row r="56" ht="15.0" customHeight="1">
      <c r="A56" s="3"/>
      <c r="B56" s="107">
        <f t="shared" si="2"/>
        <v>52</v>
      </c>
      <c r="C56" s="145" t="str">
        <f>'D2'!C55</f>
        <v/>
      </c>
      <c r="D56" s="145" t="str">
        <f>'D2'!F55</f>
        <v/>
      </c>
      <c r="E56" s="145" t="str">
        <f>'D2'!G55</f>
        <v/>
      </c>
      <c r="F56" s="112" t="str">
        <f>'D2'!I55</f>
        <v/>
      </c>
      <c r="G56" s="169"/>
      <c r="H56" s="134"/>
      <c r="I56" s="134"/>
      <c r="J56" s="134"/>
      <c r="K56" s="117"/>
      <c r="L56" s="117"/>
      <c r="M56" s="160"/>
      <c r="N56" s="169"/>
      <c r="O56" s="134"/>
      <c r="P56" s="134"/>
      <c r="Q56" s="134"/>
      <c r="R56" s="134"/>
      <c r="S56" s="134"/>
      <c r="T56" s="160"/>
      <c r="U56" s="115"/>
      <c r="V56" s="117"/>
      <c r="W56" s="117"/>
      <c r="X56" s="117"/>
      <c r="Y56" s="117"/>
      <c r="Z56" s="117"/>
      <c r="AA56" s="121"/>
      <c r="AB56" s="115"/>
      <c r="AC56" s="117"/>
      <c r="AD56" s="117"/>
      <c r="AE56" s="117"/>
      <c r="AF56" s="117"/>
      <c r="AG56" s="135"/>
      <c r="AH56" s="121"/>
      <c r="AI56" s="115"/>
      <c r="AJ56" s="117"/>
      <c r="AK56" s="117"/>
      <c r="AL56" s="117"/>
      <c r="AM56" s="117"/>
      <c r="AN56" s="117"/>
      <c r="AO56" s="121"/>
      <c r="AP56" s="154"/>
      <c r="AQ56" s="135"/>
      <c r="AR56" s="135"/>
      <c r="AS56" s="135"/>
      <c r="AT56" s="135"/>
      <c r="AU56" s="135"/>
      <c r="AV56" s="137"/>
      <c r="AW56" s="154"/>
      <c r="AX56" s="135"/>
      <c r="AY56" s="135"/>
      <c r="AZ56" s="135"/>
      <c r="BA56" s="135"/>
      <c r="BB56" s="135"/>
      <c r="BC56" s="137"/>
      <c r="BD56" s="154"/>
      <c r="BE56" s="135"/>
      <c r="BF56" s="135"/>
      <c r="BG56" s="135"/>
      <c r="BH56" s="135"/>
      <c r="BI56" s="135"/>
      <c r="BJ56" s="137"/>
      <c r="BK56" s="154"/>
      <c r="BL56" s="135"/>
      <c r="BM56" s="135"/>
      <c r="BN56" s="135"/>
      <c r="BO56" s="135"/>
      <c r="BP56" s="135"/>
      <c r="BQ56" s="137"/>
    </row>
    <row r="57" ht="15.0" customHeight="1">
      <c r="A57" s="3"/>
      <c r="B57" s="107">
        <f t="shared" si="2"/>
        <v>53</v>
      </c>
      <c r="C57" s="145" t="str">
        <f>'D2'!C56</f>
        <v/>
      </c>
      <c r="D57" s="145" t="str">
        <f>'D2'!F56</f>
        <v/>
      </c>
      <c r="E57" s="145" t="str">
        <f>'D2'!G56</f>
        <v/>
      </c>
      <c r="F57" s="202" t="str">
        <f>'D2'!I56</f>
        <v/>
      </c>
      <c r="G57" s="169"/>
      <c r="H57" s="134"/>
      <c r="I57" s="134"/>
      <c r="J57" s="134"/>
      <c r="K57" s="117"/>
      <c r="L57" s="117"/>
      <c r="M57" s="160"/>
      <c r="N57" s="169"/>
      <c r="O57" s="134"/>
      <c r="P57" s="134"/>
      <c r="Q57" s="134"/>
      <c r="R57" s="134"/>
      <c r="S57" s="134"/>
      <c r="T57" s="160"/>
      <c r="U57" s="115"/>
      <c r="V57" s="117"/>
      <c r="W57" s="117"/>
      <c r="X57" s="117"/>
      <c r="Y57" s="117"/>
      <c r="Z57" s="117"/>
      <c r="AA57" s="121"/>
      <c r="AB57" s="115"/>
      <c r="AC57" s="117"/>
      <c r="AD57" s="117"/>
      <c r="AE57" s="117"/>
      <c r="AF57" s="117"/>
      <c r="AG57" s="135"/>
      <c r="AH57" s="121"/>
      <c r="AI57" s="115"/>
      <c r="AJ57" s="117"/>
      <c r="AK57" s="117"/>
      <c r="AL57" s="117"/>
      <c r="AM57" s="117"/>
      <c r="AN57" s="117"/>
      <c r="AO57" s="121"/>
      <c r="AP57" s="154"/>
      <c r="AQ57" s="135"/>
      <c r="AR57" s="135"/>
      <c r="AS57" s="135"/>
      <c r="AT57" s="135"/>
      <c r="AU57" s="135"/>
      <c r="AV57" s="137"/>
      <c r="AW57" s="154"/>
      <c r="AX57" s="135"/>
      <c r="AY57" s="135"/>
      <c r="AZ57" s="135"/>
      <c r="BA57" s="135"/>
      <c r="BB57" s="135"/>
      <c r="BC57" s="137"/>
      <c r="BD57" s="154"/>
      <c r="BE57" s="135"/>
      <c r="BF57" s="135"/>
      <c r="BG57" s="135"/>
      <c r="BH57" s="135"/>
      <c r="BI57" s="135"/>
      <c r="BJ57" s="137"/>
      <c r="BK57" s="154"/>
      <c r="BL57" s="135"/>
      <c r="BM57" s="135"/>
      <c r="BN57" s="135"/>
      <c r="BO57" s="135"/>
      <c r="BP57" s="135"/>
      <c r="BQ57" s="137"/>
    </row>
    <row r="58" ht="15.0" customHeight="1">
      <c r="A58" s="3"/>
      <c r="B58" s="107">
        <f t="shared" si="2"/>
        <v>54</v>
      </c>
      <c r="C58" s="145" t="str">
        <f>'D2'!C57</f>
        <v/>
      </c>
      <c r="D58" s="145" t="str">
        <f>'D2'!F57</f>
        <v/>
      </c>
      <c r="E58" s="145" t="str">
        <f>'D2'!G57</f>
        <v/>
      </c>
      <c r="F58" s="202" t="str">
        <f>'D2'!I57</f>
        <v/>
      </c>
      <c r="G58" s="169"/>
      <c r="H58" s="134"/>
      <c r="I58" s="134"/>
      <c r="J58" s="134"/>
      <c r="K58" s="117"/>
      <c r="L58" s="117"/>
      <c r="M58" s="160"/>
      <c r="N58" s="169"/>
      <c r="O58" s="134"/>
      <c r="P58" s="134"/>
      <c r="Q58" s="134"/>
      <c r="R58" s="134"/>
      <c r="S58" s="134"/>
      <c r="T58" s="160"/>
      <c r="U58" s="115"/>
      <c r="V58" s="117"/>
      <c r="W58" s="117"/>
      <c r="X58" s="117"/>
      <c r="Y58" s="117"/>
      <c r="Z58" s="117"/>
      <c r="AA58" s="121"/>
      <c r="AB58" s="115"/>
      <c r="AC58" s="117"/>
      <c r="AD58" s="117"/>
      <c r="AE58" s="117"/>
      <c r="AF58" s="117"/>
      <c r="AG58" s="135"/>
      <c r="AH58" s="121"/>
      <c r="AI58" s="115"/>
      <c r="AJ58" s="117"/>
      <c r="AK58" s="117"/>
      <c r="AL58" s="117"/>
      <c r="AM58" s="117"/>
      <c r="AN58" s="117"/>
      <c r="AO58" s="121"/>
      <c r="AP58" s="154"/>
      <c r="AQ58" s="135"/>
      <c r="AR58" s="135"/>
      <c r="AS58" s="135"/>
      <c r="AT58" s="135"/>
      <c r="AU58" s="135"/>
      <c r="AV58" s="137"/>
      <c r="AW58" s="154"/>
      <c r="AX58" s="135"/>
      <c r="AY58" s="135"/>
      <c r="AZ58" s="135"/>
      <c r="BA58" s="135"/>
      <c r="BB58" s="135"/>
      <c r="BC58" s="137"/>
      <c r="BD58" s="154"/>
      <c r="BE58" s="135"/>
      <c r="BF58" s="135"/>
      <c r="BG58" s="135"/>
      <c r="BH58" s="135"/>
      <c r="BI58" s="135"/>
      <c r="BJ58" s="137"/>
      <c r="BK58" s="154"/>
      <c r="BL58" s="135"/>
      <c r="BM58" s="135"/>
      <c r="BN58" s="135"/>
      <c r="BO58" s="135"/>
      <c r="BP58" s="135"/>
      <c r="BQ58" s="137"/>
    </row>
    <row r="59" ht="15.0" customHeight="1">
      <c r="A59" s="3"/>
      <c r="B59" s="107">
        <f t="shared" si="2"/>
        <v>55</v>
      </c>
      <c r="C59" s="145" t="str">
        <f>'D2'!C58</f>
        <v/>
      </c>
      <c r="D59" s="145" t="str">
        <f>'D2'!F58</f>
        <v/>
      </c>
      <c r="E59" s="145" t="str">
        <f>'D2'!G58</f>
        <v/>
      </c>
      <c r="F59" s="202" t="str">
        <f>'D2'!I58</f>
        <v/>
      </c>
      <c r="G59" s="169"/>
      <c r="H59" s="134"/>
      <c r="I59" s="134"/>
      <c r="J59" s="134"/>
      <c r="K59" s="117"/>
      <c r="L59" s="117"/>
      <c r="M59" s="160"/>
      <c r="N59" s="169"/>
      <c r="O59" s="134"/>
      <c r="P59" s="134"/>
      <c r="Q59" s="134"/>
      <c r="R59" s="134"/>
      <c r="S59" s="134"/>
      <c r="T59" s="160"/>
      <c r="U59" s="115"/>
      <c r="V59" s="117"/>
      <c r="W59" s="117"/>
      <c r="X59" s="117"/>
      <c r="Y59" s="117"/>
      <c r="Z59" s="117"/>
      <c r="AA59" s="121"/>
      <c r="AB59" s="115"/>
      <c r="AC59" s="117"/>
      <c r="AD59" s="117"/>
      <c r="AE59" s="117"/>
      <c r="AF59" s="117"/>
      <c r="AG59" s="135"/>
      <c r="AH59" s="121"/>
      <c r="AI59" s="115"/>
      <c r="AJ59" s="117"/>
      <c r="AK59" s="117"/>
      <c r="AL59" s="117"/>
      <c r="AM59" s="117"/>
      <c r="AN59" s="117"/>
      <c r="AO59" s="121"/>
      <c r="AP59" s="154"/>
      <c r="AQ59" s="135"/>
      <c r="AR59" s="135"/>
      <c r="AS59" s="135"/>
      <c r="AT59" s="135"/>
      <c r="AU59" s="135"/>
      <c r="AV59" s="137"/>
      <c r="AW59" s="154"/>
      <c r="AX59" s="135"/>
      <c r="AY59" s="135"/>
      <c r="AZ59" s="135"/>
      <c r="BA59" s="135"/>
      <c r="BB59" s="135"/>
      <c r="BC59" s="137"/>
      <c r="BD59" s="154"/>
      <c r="BE59" s="135"/>
      <c r="BF59" s="135"/>
      <c r="BG59" s="135"/>
      <c r="BH59" s="135"/>
      <c r="BI59" s="135"/>
      <c r="BJ59" s="137"/>
      <c r="BK59" s="154"/>
      <c r="BL59" s="135"/>
      <c r="BM59" s="135"/>
      <c r="BN59" s="135"/>
      <c r="BO59" s="135"/>
      <c r="BP59" s="135"/>
      <c r="BQ59" s="137"/>
    </row>
    <row r="60" ht="15.0" customHeight="1">
      <c r="A60" s="3"/>
      <c r="B60" s="107">
        <f t="shared" si="2"/>
        <v>56</v>
      </c>
      <c r="C60" s="145" t="str">
        <f>'D2'!C59</f>
        <v/>
      </c>
      <c r="D60" s="145" t="str">
        <f>'D2'!F59</f>
        <v/>
      </c>
      <c r="E60" s="145" t="str">
        <f>'D2'!G59</f>
        <v/>
      </c>
      <c r="F60" s="202" t="str">
        <f>'D2'!I59</f>
        <v/>
      </c>
      <c r="G60" s="169"/>
      <c r="H60" s="134"/>
      <c r="I60" s="134"/>
      <c r="J60" s="134"/>
      <c r="K60" s="117"/>
      <c r="L60" s="117"/>
      <c r="M60" s="160"/>
      <c r="N60" s="169"/>
      <c r="O60" s="134"/>
      <c r="P60" s="134"/>
      <c r="Q60" s="134"/>
      <c r="R60" s="134"/>
      <c r="S60" s="134"/>
      <c r="T60" s="160"/>
      <c r="U60" s="115"/>
      <c r="V60" s="117"/>
      <c r="W60" s="117"/>
      <c r="X60" s="117"/>
      <c r="Y60" s="117"/>
      <c r="Z60" s="117"/>
      <c r="AA60" s="121"/>
      <c r="AB60" s="115"/>
      <c r="AC60" s="117"/>
      <c r="AD60" s="117"/>
      <c r="AE60" s="117"/>
      <c r="AF60" s="117"/>
      <c r="AG60" s="135"/>
      <c r="AH60" s="121"/>
      <c r="AI60" s="115"/>
      <c r="AJ60" s="117"/>
      <c r="AK60" s="117"/>
      <c r="AL60" s="117"/>
      <c r="AM60" s="117"/>
      <c r="AN60" s="117"/>
      <c r="AO60" s="121"/>
      <c r="AP60" s="154"/>
      <c r="AQ60" s="135"/>
      <c r="AR60" s="135"/>
      <c r="AS60" s="135"/>
      <c r="AT60" s="135"/>
      <c r="AU60" s="135"/>
      <c r="AV60" s="137"/>
      <c r="AW60" s="154"/>
      <c r="AX60" s="135"/>
      <c r="AY60" s="135"/>
      <c r="AZ60" s="135"/>
      <c r="BA60" s="135"/>
      <c r="BB60" s="135"/>
      <c r="BC60" s="137"/>
      <c r="BD60" s="154"/>
      <c r="BE60" s="135"/>
      <c r="BF60" s="135"/>
      <c r="BG60" s="135"/>
      <c r="BH60" s="135"/>
      <c r="BI60" s="135"/>
      <c r="BJ60" s="137"/>
      <c r="BK60" s="154"/>
      <c r="BL60" s="135"/>
      <c r="BM60" s="135"/>
      <c r="BN60" s="135"/>
      <c r="BO60" s="135"/>
      <c r="BP60" s="135"/>
      <c r="BQ60" s="137"/>
    </row>
    <row r="61" ht="15.0" customHeight="1">
      <c r="A61" s="3"/>
      <c r="B61" s="107">
        <f t="shared" si="2"/>
        <v>57</v>
      </c>
      <c r="C61" s="145" t="str">
        <f>'D2'!C60</f>
        <v/>
      </c>
      <c r="D61" s="145" t="str">
        <f>'D2'!F60</f>
        <v/>
      </c>
      <c r="E61" s="145" t="str">
        <f>'D2'!G60</f>
        <v/>
      </c>
      <c r="F61" s="202" t="str">
        <f>'D2'!I60</f>
        <v/>
      </c>
      <c r="G61" s="169"/>
      <c r="H61" s="134"/>
      <c r="I61" s="134"/>
      <c r="J61" s="134"/>
      <c r="K61" s="117"/>
      <c r="L61" s="117"/>
      <c r="M61" s="160"/>
      <c r="N61" s="169"/>
      <c r="O61" s="134"/>
      <c r="P61" s="134"/>
      <c r="Q61" s="134"/>
      <c r="R61" s="134"/>
      <c r="S61" s="134"/>
      <c r="T61" s="160"/>
      <c r="U61" s="115"/>
      <c r="V61" s="117"/>
      <c r="W61" s="117"/>
      <c r="X61" s="117"/>
      <c r="Y61" s="117"/>
      <c r="Z61" s="117"/>
      <c r="AA61" s="121"/>
      <c r="AB61" s="115"/>
      <c r="AC61" s="117"/>
      <c r="AD61" s="117"/>
      <c r="AE61" s="117"/>
      <c r="AF61" s="117"/>
      <c r="AG61" s="135"/>
      <c r="AH61" s="121"/>
      <c r="AI61" s="115"/>
      <c r="AJ61" s="117"/>
      <c r="AK61" s="117"/>
      <c r="AL61" s="117"/>
      <c r="AM61" s="117"/>
      <c r="AN61" s="117"/>
      <c r="AO61" s="121"/>
      <c r="AP61" s="154"/>
      <c r="AQ61" s="135"/>
      <c r="AR61" s="135"/>
      <c r="AS61" s="135"/>
      <c r="AT61" s="135"/>
      <c r="AU61" s="135"/>
      <c r="AV61" s="137"/>
      <c r="AW61" s="154"/>
      <c r="AX61" s="135"/>
      <c r="AY61" s="135"/>
      <c r="AZ61" s="135"/>
      <c r="BA61" s="135"/>
      <c r="BB61" s="135"/>
      <c r="BC61" s="137"/>
      <c r="BD61" s="154"/>
      <c r="BE61" s="135"/>
      <c r="BF61" s="135"/>
      <c r="BG61" s="135"/>
      <c r="BH61" s="135"/>
      <c r="BI61" s="135"/>
      <c r="BJ61" s="137"/>
      <c r="BK61" s="154"/>
      <c r="BL61" s="135"/>
      <c r="BM61" s="135"/>
      <c r="BN61" s="135"/>
      <c r="BO61" s="135"/>
      <c r="BP61" s="135"/>
      <c r="BQ61" s="137"/>
    </row>
    <row r="62" ht="15.0" customHeight="1">
      <c r="A62" s="3"/>
      <c r="B62" s="107">
        <f t="shared" si="2"/>
        <v>58</v>
      </c>
      <c r="C62" s="145" t="str">
        <f>'D2'!C61</f>
        <v/>
      </c>
      <c r="D62" s="145" t="str">
        <f>'D2'!F61</f>
        <v/>
      </c>
      <c r="E62" s="145" t="str">
        <f>'D2'!G61</f>
        <v/>
      </c>
      <c r="F62" s="202" t="str">
        <f>'D2'!I61</f>
        <v/>
      </c>
      <c r="G62" s="169"/>
      <c r="H62" s="134"/>
      <c r="I62" s="134"/>
      <c r="J62" s="134"/>
      <c r="K62" s="117"/>
      <c r="L62" s="117"/>
      <c r="M62" s="160"/>
      <c r="N62" s="169"/>
      <c r="O62" s="134"/>
      <c r="P62" s="134"/>
      <c r="Q62" s="134"/>
      <c r="R62" s="134"/>
      <c r="S62" s="134"/>
      <c r="T62" s="160"/>
      <c r="U62" s="115"/>
      <c r="V62" s="117"/>
      <c r="W62" s="117"/>
      <c r="X62" s="117"/>
      <c r="Y62" s="117"/>
      <c r="Z62" s="117"/>
      <c r="AA62" s="121"/>
      <c r="AB62" s="115"/>
      <c r="AC62" s="117"/>
      <c r="AD62" s="117"/>
      <c r="AE62" s="117"/>
      <c r="AF62" s="117"/>
      <c r="AG62" s="135"/>
      <c r="AH62" s="121"/>
      <c r="AI62" s="115"/>
      <c r="AJ62" s="117"/>
      <c r="AK62" s="117"/>
      <c r="AL62" s="117"/>
      <c r="AM62" s="117"/>
      <c r="AN62" s="117"/>
      <c r="AO62" s="121"/>
      <c r="AP62" s="154"/>
      <c r="AQ62" s="135"/>
      <c r="AR62" s="135"/>
      <c r="AS62" s="135"/>
      <c r="AT62" s="135"/>
      <c r="AU62" s="135"/>
      <c r="AV62" s="137"/>
      <c r="AW62" s="154"/>
      <c r="AX62" s="135"/>
      <c r="AY62" s="135"/>
      <c r="AZ62" s="135"/>
      <c r="BA62" s="135"/>
      <c r="BB62" s="135"/>
      <c r="BC62" s="137"/>
      <c r="BD62" s="154"/>
      <c r="BE62" s="135"/>
      <c r="BF62" s="135"/>
      <c r="BG62" s="135"/>
      <c r="BH62" s="135"/>
      <c r="BI62" s="135"/>
      <c r="BJ62" s="137"/>
      <c r="BK62" s="154"/>
      <c r="BL62" s="135"/>
      <c r="BM62" s="135"/>
      <c r="BN62" s="135"/>
      <c r="BO62" s="135"/>
      <c r="BP62" s="135"/>
      <c r="BQ62" s="137"/>
    </row>
    <row r="63" ht="15.0" customHeight="1">
      <c r="A63" s="3" t="str">
        <f>'D2'!D52</f>
        <v/>
      </c>
      <c r="B63" s="107">
        <f t="shared" si="2"/>
        <v>59</v>
      </c>
      <c r="C63" s="145" t="str">
        <f>'D2'!C62</f>
        <v/>
      </c>
      <c r="D63" s="145" t="str">
        <f>'D2'!F62</f>
        <v/>
      </c>
      <c r="E63" s="145" t="str">
        <f>'D2'!G62</f>
        <v/>
      </c>
      <c r="F63" s="202" t="str">
        <f>'D2'!I62</f>
        <v/>
      </c>
      <c r="G63" s="154"/>
      <c r="H63" s="135"/>
      <c r="I63" s="135"/>
      <c r="J63" s="135"/>
      <c r="K63" s="117"/>
      <c r="L63" s="117"/>
      <c r="M63" s="137"/>
      <c r="N63" s="154"/>
      <c r="O63" s="135"/>
      <c r="P63" s="135"/>
      <c r="Q63" s="135"/>
      <c r="R63" s="135"/>
      <c r="S63" s="135"/>
      <c r="T63" s="137"/>
      <c r="U63" s="154"/>
      <c r="V63" s="135"/>
      <c r="W63" s="135"/>
      <c r="X63" s="135"/>
      <c r="Y63" s="135"/>
      <c r="Z63" s="135"/>
      <c r="AA63" s="137"/>
      <c r="AB63" s="154"/>
      <c r="AC63" s="135"/>
      <c r="AD63" s="135"/>
      <c r="AE63" s="135"/>
      <c r="AF63" s="135"/>
      <c r="AG63" s="135"/>
      <c r="AH63" s="137"/>
      <c r="AI63" s="154"/>
      <c r="AJ63" s="135"/>
      <c r="AK63" s="135"/>
      <c r="AL63" s="135"/>
      <c r="AM63" s="135"/>
      <c r="AN63" s="135"/>
      <c r="AO63" s="137"/>
      <c r="AP63" s="154"/>
      <c r="AQ63" s="135"/>
      <c r="AR63" s="135"/>
      <c r="AS63" s="135"/>
      <c r="AT63" s="135"/>
      <c r="AU63" s="135"/>
      <c r="AV63" s="137"/>
      <c r="AW63" s="154"/>
      <c r="AX63" s="135"/>
      <c r="AY63" s="135"/>
      <c r="AZ63" s="135"/>
      <c r="BA63" s="135"/>
      <c r="BB63" s="135"/>
      <c r="BC63" s="137"/>
      <c r="BD63" s="154"/>
      <c r="BE63" s="135"/>
      <c r="BF63" s="135"/>
      <c r="BG63" s="135"/>
      <c r="BH63" s="135"/>
      <c r="BI63" s="135"/>
      <c r="BJ63" s="137"/>
      <c r="BK63" s="154"/>
      <c r="BL63" s="135"/>
      <c r="BM63" s="135"/>
      <c r="BN63" s="135"/>
      <c r="BO63" s="135"/>
      <c r="BP63" s="135"/>
      <c r="BQ63" s="137"/>
    </row>
    <row r="64" ht="15.0" customHeight="1">
      <c r="A64" s="3" t="str">
        <f>'D2'!D53</f>
        <v/>
      </c>
      <c r="B64" s="181">
        <f t="shared" si="2"/>
        <v>60</v>
      </c>
      <c r="C64" s="182" t="str">
        <f>'D2'!C63</f>
        <v/>
      </c>
      <c r="D64" s="182" t="str">
        <f>'D2'!F63</f>
        <v/>
      </c>
      <c r="E64" s="182" t="str">
        <f>'D2'!G63</f>
        <v/>
      </c>
      <c r="F64" s="203" t="str">
        <f>'D2'!I63</f>
        <v/>
      </c>
      <c r="G64" s="188"/>
      <c r="H64" s="204"/>
      <c r="I64" s="204"/>
      <c r="J64" s="204"/>
      <c r="K64" s="204"/>
      <c r="L64" s="204"/>
      <c r="M64" s="187"/>
      <c r="N64" s="188"/>
      <c r="O64" s="204"/>
      <c r="P64" s="204"/>
      <c r="Q64" s="204"/>
      <c r="R64" s="204"/>
      <c r="S64" s="204"/>
      <c r="T64" s="187"/>
      <c r="U64" s="188"/>
      <c r="V64" s="204"/>
      <c r="W64" s="204"/>
      <c r="X64" s="204"/>
      <c r="Y64" s="204"/>
      <c r="Z64" s="204"/>
      <c r="AA64" s="187"/>
      <c r="AB64" s="188"/>
      <c r="AC64" s="204"/>
      <c r="AD64" s="204"/>
      <c r="AE64" s="204"/>
      <c r="AF64" s="204"/>
      <c r="AG64" s="204"/>
      <c r="AH64" s="187"/>
      <c r="AI64" s="188"/>
      <c r="AJ64" s="204"/>
      <c r="AK64" s="204"/>
      <c r="AL64" s="204"/>
      <c r="AM64" s="204"/>
      <c r="AN64" s="204"/>
      <c r="AO64" s="187"/>
      <c r="AP64" s="188"/>
      <c r="AQ64" s="204"/>
      <c r="AR64" s="204"/>
      <c r="AS64" s="204"/>
      <c r="AT64" s="204"/>
      <c r="AU64" s="204"/>
      <c r="AV64" s="187"/>
      <c r="AW64" s="188"/>
      <c r="AX64" s="204"/>
      <c r="AY64" s="204"/>
      <c r="AZ64" s="204"/>
      <c r="BA64" s="204"/>
      <c r="BB64" s="204"/>
      <c r="BC64" s="187"/>
      <c r="BD64" s="188"/>
      <c r="BE64" s="204"/>
      <c r="BF64" s="204"/>
      <c r="BG64" s="204"/>
      <c r="BH64" s="204"/>
      <c r="BI64" s="204"/>
      <c r="BJ64" s="187"/>
      <c r="BK64" s="188"/>
      <c r="BL64" s="204"/>
      <c r="BM64" s="204"/>
      <c r="BN64" s="204"/>
      <c r="BO64" s="204"/>
      <c r="BP64" s="204"/>
      <c r="BQ64" s="187"/>
    </row>
    <row r="65" ht="15.0" customHeight="1">
      <c r="A65" s="3"/>
      <c r="B65" s="3"/>
      <c r="C65" s="3"/>
      <c r="D65" s="3"/>
      <c r="E65" s="3"/>
      <c r="F65" s="205"/>
      <c r="G65" s="29">
        <f t="shared" ref="G65:BQ65" si="3">SUM(G5:G64)</f>
        <v>4</v>
      </c>
      <c r="H65" s="29">
        <f t="shared" si="3"/>
        <v>4</v>
      </c>
      <c r="I65" s="29">
        <f t="shared" si="3"/>
        <v>4</v>
      </c>
      <c r="J65" s="29">
        <f t="shared" si="3"/>
        <v>5</v>
      </c>
      <c r="K65" s="29">
        <f t="shared" si="3"/>
        <v>5</v>
      </c>
      <c r="L65" s="29">
        <f t="shared" si="3"/>
        <v>5</v>
      </c>
      <c r="M65" s="29">
        <f t="shared" si="3"/>
        <v>4</v>
      </c>
      <c r="N65" s="29">
        <f t="shared" si="3"/>
        <v>5</v>
      </c>
      <c r="O65" s="29">
        <f t="shared" si="3"/>
        <v>6</v>
      </c>
      <c r="P65" s="29">
        <f t="shared" si="3"/>
        <v>5</v>
      </c>
      <c r="Q65" s="29">
        <f t="shared" si="3"/>
        <v>6</v>
      </c>
      <c r="R65" s="29">
        <f t="shared" si="3"/>
        <v>5</v>
      </c>
      <c r="S65" s="29">
        <f t="shared" si="3"/>
        <v>5</v>
      </c>
      <c r="T65" s="29">
        <f t="shared" si="3"/>
        <v>6</v>
      </c>
      <c r="U65" s="29">
        <f t="shared" si="3"/>
        <v>5</v>
      </c>
      <c r="V65" s="29">
        <f t="shared" si="3"/>
        <v>6</v>
      </c>
      <c r="W65" s="29">
        <f t="shared" si="3"/>
        <v>5</v>
      </c>
      <c r="X65" s="29">
        <f t="shared" si="3"/>
        <v>5</v>
      </c>
      <c r="Y65" s="29">
        <f t="shared" si="3"/>
        <v>5</v>
      </c>
      <c r="Z65" s="29">
        <f t="shared" si="3"/>
        <v>4</v>
      </c>
      <c r="AA65" s="29">
        <f t="shared" si="3"/>
        <v>3</v>
      </c>
      <c r="AB65" s="29">
        <f t="shared" si="3"/>
        <v>7</v>
      </c>
      <c r="AC65" s="29">
        <f t="shared" si="3"/>
        <v>6</v>
      </c>
      <c r="AD65" s="29">
        <f t="shared" si="3"/>
        <v>7</v>
      </c>
      <c r="AE65" s="29">
        <f t="shared" si="3"/>
        <v>7</v>
      </c>
      <c r="AF65" s="29">
        <f t="shared" si="3"/>
        <v>6</v>
      </c>
      <c r="AG65" s="29">
        <f t="shared" si="3"/>
        <v>6</v>
      </c>
      <c r="AH65" s="29">
        <f t="shared" si="3"/>
        <v>5</v>
      </c>
      <c r="AI65" s="29">
        <f t="shared" si="3"/>
        <v>3</v>
      </c>
      <c r="AJ65" s="29">
        <f t="shared" si="3"/>
        <v>3</v>
      </c>
      <c r="AK65" s="29">
        <f t="shared" si="3"/>
        <v>4</v>
      </c>
      <c r="AL65" s="29">
        <f t="shared" si="3"/>
        <v>5</v>
      </c>
      <c r="AM65" s="29">
        <f t="shared" si="3"/>
        <v>5</v>
      </c>
      <c r="AN65" s="29">
        <f t="shared" si="3"/>
        <v>4</v>
      </c>
      <c r="AO65" s="29">
        <f t="shared" si="3"/>
        <v>4</v>
      </c>
      <c r="AP65" s="29">
        <f t="shared" si="3"/>
        <v>6</v>
      </c>
      <c r="AQ65" s="29">
        <f t="shared" si="3"/>
        <v>6</v>
      </c>
      <c r="AR65" s="29">
        <f t="shared" si="3"/>
        <v>6</v>
      </c>
      <c r="AS65" s="29">
        <f t="shared" si="3"/>
        <v>6</v>
      </c>
      <c r="AT65" s="29">
        <f t="shared" si="3"/>
        <v>6</v>
      </c>
      <c r="AU65" s="29">
        <f t="shared" si="3"/>
        <v>6</v>
      </c>
      <c r="AV65" s="29">
        <f t="shared" si="3"/>
        <v>5</v>
      </c>
      <c r="AW65" s="29">
        <f t="shared" si="3"/>
        <v>5</v>
      </c>
      <c r="AX65" s="29">
        <f t="shared" si="3"/>
        <v>5</v>
      </c>
      <c r="AY65" s="29">
        <f t="shared" si="3"/>
        <v>6</v>
      </c>
      <c r="AZ65" s="29">
        <f t="shared" si="3"/>
        <v>5</v>
      </c>
      <c r="BA65" s="29">
        <f t="shared" si="3"/>
        <v>5</v>
      </c>
      <c r="BB65" s="29">
        <f t="shared" si="3"/>
        <v>5</v>
      </c>
      <c r="BC65" s="29">
        <f t="shared" si="3"/>
        <v>5</v>
      </c>
      <c r="BD65" s="29">
        <f t="shared" si="3"/>
        <v>4</v>
      </c>
      <c r="BE65" s="29">
        <f t="shared" si="3"/>
        <v>4</v>
      </c>
      <c r="BF65" s="29">
        <f t="shared" si="3"/>
        <v>4</v>
      </c>
      <c r="BG65" s="29">
        <f t="shared" si="3"/>
        <v>4</v>
      </c>
      <c r="BH65" s="29">
        <f t="shared" si="3"/>
        <v>4</v>
      </c>
      <c r="BI65" s="29">
        <f t="shared" si="3"/>
        <v>4</v>
      </c>
      <c r="BJ65" s="29">
        <f t="shared" si="3"/>
        <v>4</v>
      </c>
      <c r="BK65" s="29">
        <f t="shared" si="3"/>
        <v>4</v>
      </c>
      <c r="BL65" s="29">
        <f t="shared" si="3"/>
        <v>4</v>
      </c>
      <c r="BM65" s="29">
        <f t="shared" si="3"/>
        <v>4</v>
      </c>
      <c r="BN65" s="29">
        <f t="shared" si="3"/>
        <v>4</v>
      </c>
      <c r="BO65" s="29">
        <f t="shared" si="3"/>
        <v>0</v>
      </c>
      <c r="BP65" s="29">
        <f t="shared" si="3"/>
        <v>0</v>
      </c>
      <c r="BQ65" s="29">
        <f t="shared" si="3"/>
        <v>0</v>
      </c>
    </row>
    <row r="66" ht="15.0" customHeight="1">
      <c r="A66" s="3"/>
      <c r="B66" s="3"/>
      <c r="C66" s="3"/>
      <c r="D66" s="3"/>
      <c r="E66" s="3"/>
      <c r="F66" s="205"/>
      <c r="G66" s="196"/>
      <c r="H66" s="197"/>
      <c r="I66" s="196"/>
      <c r="J66" s="197"/>
      <c r="K66" s="196"/>
      <c r="L66" s="197"/>
      <c r="M66" s="196"/>
      <c r="N66" s="197"/>
      <c r="O66" s="196"/>
      <c r="P66" s="197"/>
      <c r="Q66" s="196"/>
      <c r="R66" s="197"/>
      <c r="S66" s="196"/>
      <c r="T66" s="197"/>
      <c r="U66" s="196"/>
      <c r="V66" s="197"/>
      <c r="W66" s="196"/>
      <c r="X66" s="197"/>
      <c r="Y66" s="3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3"/>
      <c r="AS66" s="197"/>
      <c r="AT66" s="197"/>
      <c r="AU66" s="3"/>
      <c r="AV66" s="197"/>
      <c r="AW66" s="197"/>
      <c r="AX66" s="197"/>
      <c r="AY66" s="197"/>
      <c r="AZ66" s="197"/>
      <c r="BA66" s="197"/>
      <c r="BB66" s="197"/>
      <c r="BC66" s="197"/>
      <c r="BD66" s="197"/>
      <c r="BE66" s="197"/>
      <c r="BF66" s="197"/>
      <c r="BG66" s="197"/>
      <c r="BH66" s="197"/>
      <c r="BI66" s="197"/>
      <c r="BJ66" s="197"/>
      <c r="BK66" s="197"/>
      <c r="BL66" s="197"/>
      <c r="BM66" s="197"/>
      <c r="BN66" s="197"/>
      <c r="BO66" s="197"/>
      <c r="BP66" s="197"/>
      <c r="BQ66" s="197"/>
    </row>
    <row r="67">
      <c r="A67" s="3"/>
      <c r="B67" s="3"/>
      <c r="C67" s="3"/>
      <c r="D67" s="3"/>
      <c r="E67" s="3"/>
      <c r="F67" s="20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>
      <c r="A68" s="3"/>
      <c r="B68" s="3"/>
      <c r="C68" s="3"/>
      <c r="D68" s="3"/>
      <c r="E68" s="3"/>
      <c r="F68" s="20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>
      <c r="A69" s="3"/>
      <c r="B69" s="3"/>
      <c r="C69" s="3"/>
      <c r="D69" s="3"/>
      <c r="E69" s="3"/>
      <c r="F69" s="20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>
      <c r="A70" s="3"/>
      <c r="B70" s="3"/>
      <c r="C70" s="3"/>
      <c r="D70" s="3"/>
      <c r="E70" s="3"/>
      <c r="F70" s="20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>
      <c r="A71" s="3"/>
      <c r="B71" s="3"/>
      <c r="C71" s="3"/>
      <c r="D71" s="3"/>
      <c r="E71" s="3"/>
      <c r="F71" s="20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>
      <c r="A72" s="3"/>
      <c r="B72" s="3"/>
      <c r="C72" s="3"/>
      <c r="D72" s="3"/>
      <c r="E72" s="3"/>
      <c r="F72" s="20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>
      <c r="A73" s="3"/>
      <c r="B73" s="3"/>
      <c r="C73" s="3"/>
      <c r="D73" s="3"/>
      <c r="E73" s="3"/>
      <c r="F73" s="20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>
      <c r="A74" s="3"/>
      <c r="B74" s="3"/>
      <c r="C74" s="3"/>
      <c r="D74" s="3"/>
      <c r="E74" s="3"/>
      <c r="F74" s="20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>
      <c r="A75" s="3"/>
      <c r="B75" s="3"/>
      <c r="C75" s="3"/>
      <c r="D75" s="3"/>
      <c r="E75" s="3"/>
      <c r="F75" s="20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>
      <c r="A76" s="3"/>
      <c r="B76" s="3"/>
      <c r="C76" s="3"/>
      <c r="D76" s="3"/>
      <c r="E76" s="3"/>
      <c r="F76" s="20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>
      <c r="A77" s="3"/>
      <c r="B77" s="3"/>
      <c r="C77" s="3"/>
      <c r="D77" s="3"/>
      <c r="E77" s="3"/>
      <c r="F77" s="20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>
      <c r="A78" s="3"/>
      <c r="B78" s="3"/>
      <c r="C78" s="3"/>
      <c r="D78" s="3"/>
      <c r="E78" s="3"/>
      <c r="F78" s="20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>
      <c r="A79" s="3"/>
      <c r="B79" s="3"/>
      <c r="C79" s="3"/>
      <c r="D79" s="3"/>
      <c r="E79" s="3"/>
      <c r="F79" s="20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>
      <c r="A80" s="3"/>
      <c r="B80" s="3"/>
      <c r="C80" s="3"/>
      <c r="D80" s="3"/>
      <c r="E80" s="3"/>
      <c r="F80" s="20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>
      <c r="A81" s="3"/>
      <c r="B81" s="3"/>
      <c r="C81" s="3"/>
      <c r="D81" s="3"/>
      <c r="E81" s="3"/>
      <c r="F81" s="20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>
      <c r="A82" s="3"/>
      <c r="B82" s="3"/>
      <c r="C82" s="3"/>
      <c r="D82" s="3"/>
      <c r="E82" s="3"/>
      <c r="F82" s="20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>
      <c r="A83" s="3"/>
      <c r="B83" s="3"/>
      <c r="C83" s="3"/>
      <c r="D83" s="3"/>
      <c r="E83" s="3"/>
      <c r="F83" s="20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>
      <c r="A84" s="3"/>
      <c r="B84" s="3"/>
      <c r="C84" s="3"/>
      <c r="D84" s="3"/>
      <c r="E84" s="3"/>
      <c r="F84" s="20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>
      <c r="A85" s="3"/>
      <c r="B85" s="3"/>
      <c r="C85" s="3"/>
      <c r="D85" s="3"/>
      <c r="E85" s="3"/>
      <c r="F85" s="20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>
      <c r="A86" s="3"/>
      <c r="B86" s="3"/>
      <c r="C86" s="3"/>
      <c r="D86" s="3"/>
      <c r="E86" s="3"/>
      <c r="F86" s="20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>
      <c r="A87" s="3"/>
      <c r="B87" s="3"/>
      <c r="C87" s="3"/>
      <c r="D87" s="3"/>
      <c r="E87" s="3"/>
      <c r="F87" s="20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>
      <c r="A88" s="3"/>
      <c r="B88" s="3"/>
      <c r="C88" s="3"/>
      <c r="D88" s="3"/>
      <c r="E88" s="3"/>
      <c r="F88" s="20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>
      <c r="A89" s="3"/>
      <c r="B89" s="3"/>
      <c r="C89" s="3"/>
      <c r="D89" s="3"/>
      <c r="E89" s="3"/>
      <c r="F89" s="20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>
      <c r="A90" s="3"/>
      <c r="B90" s="3"/>
      <c r="C90" s="3"/>
      <c r="D90" s="3"/>
      <c r="E90" s="3"/>
      <c r="F90" s="20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>
      <c r="A91" s="3"/>
      <c r="B91" s="3"/>
      <c r="C91" s="3"/>
      <c r="D91" s="3"/>
      <c r="E91" s="3"/>
      <c r="F91" s="20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>
      <c r="A92" s="3"/>
      <c r="B92" s="3"/>
      <c r="C92" s="3"/>
      <c r="D92" s="3"/>
      <c r="E92" s="3"/>
      <c r="F92" s="20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>
      <c r="A93" s="3"/>
      <c r="B93" s="3"/>
      <c r="C93" s="3"/>
      <c r="D93" s="3"/>
      <c r="E93" s="3"/>
      <c r="F93" s="20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>
      <c r="A94" s="3"/>
      <c r="B94" s="3"/>
      <c r="C94" s="3"/>
      <c r="D94" s="3"/>
      <c r="E94" s="3"/>
      <c r="F94" s="20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>
      <c r="A95" s="3"/>
      <c r="B95" s="3"/>
      <c r="C95" s="3"/>
      <c r="D95" s="3"/>
      <c r="E95" s="3"/>
      <c r="F95" s="20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>
      <c r="A96" s="3"/>
      <c r="B96" s="3"/>
      <c r="C96" s="3"/>
      <c r="D96" s="3"/>
      <c r="E96" s="3"/>
      <c r="F96" s="20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>
      <c r="A97" s="3"/>
      <c r="B97" s="3"/>
      <c r="C97" s="3"/>
      <c r="D97" s="3"/>
      <c r="E97" s="3"/>
      <c r="F97" s="20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>
      <c r="A98" s="3"/>
      <c r="B98" s="3"/>
      <c r="C98" s="3"/>
      <c r="D98" s="3"/>
      <c r="E98" s="3"/>
      <c r="F98" s="20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>
      <c r="A99" s="3"/>
      <c r="B99" s="3"/>
      <c r="C99" s="3"/>
      <c r="D99" s="3"/>
      <c r="E99" s="3"/>
      <c r="F99" s="20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>
      <c r="A100" s="3"/>
      <c r="B100" s="3"/>
      <c r="C100" s="3"/>
      <c r="D100" s="3"/>
      <c r="E100" s="3"/>
      <c r="F100" s="20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>
      <c r="A101" s="3"/>
      <c r="B101" s="3"/>
      <c r="C101" s="3"/>
      <c r="D101" s="3"/>
      <c r="E101" s="3"/>
      <c r="F101" s="20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>
      <c r="A102" s="3"/>
      <c r="B102" s="3"/>
      <c r="C102" s="3"/>
      <c r="D102" s="3"/>
      <c r="E102" s="3"/>
      <c r="F102" s="20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>
      <c r="A103" s="3"/>
      <c r="B103" s="3"/>
      <c r="C103" s="3"/>
      <c r="D103" s="3"/>
      <c r="E103" s="3"/>
      <c r="F103" s="20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>
      <c r="A104" s="3"/>
      <c r="B104" s="3"/>
      <c r="C104" s="3"/>
      <c r="D104" s="3"/>
      <c r="E104" s="3"/>
      <c r="F104" s="20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>
      <c r="A105" s="3"/>
      <c r="B105" s="3"/>
      <c r="C105" s="3"/>
      <c r="D105" s="3"/>
      <c r="E105" s="3"/>
      <c r="F105" s="20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>
      <c r="A106" s="3"/>
      <c r="B106" s="3"/>
      <c r="C106" s="3"/>
      <c r="D106" s="3"/>
      <c r="E106" s="3"/>
      <c r="F106" s="20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>
      <c r="A107" s="3"/>
      <c r="B107" s="3"/>
      <c r="C107" s="3"/>
      <c r="D107" s="3"/>
      <c r="E107" s="3"/>
      <c r="F107" s="20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>
      <c r="A108" s="3"/>
      <c r="B108" s="3"/>
      <c r="C108" s="3"/>
      <c r="D108" s="3"/>
      <c r="E108" s="3"/>
      <c r="F108" s="20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>
      <c r="A109" s="3"/>
      <c r="B109" s="3"/>
      <c r="C109" s="3"/>
      <c r="D109" s="3"/>
      <c r="E109" s="3"/>
      <c r="F109" s="20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>
      <c r="A110" s="3"/>
      <c r="B110" s="3"/>
      <c r="C110" s="3"/>
      <c r="D110" s="3"/>
      <c r="E110" s="3"/>
      <c r="F110" s="20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>
      <c r="A111" s="3"/>
      <c r="B111" s="3"/>
      <c r="C111" s="3"/>
      <c r="D111" s="3"/>
      <c r="E111" s="3"/>
      <c r="F111" s="20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>
      <c r="A112" s="3"/>
      <c r="B112" s="3"/>
      <c r="C112" s="3"/>
      <c r="D112" s="3"/>
      <c r="E112" s="3"/>
      <c r="F112" s="20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>
      <c r="A113" s="3"/>
      <c r="B113" s="3"/>
      <c r="C113" s="3"/>
      <c r="D113" s="3"/>
      <c r="E113" s="3"/>
      <c r="F113" s="20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>
      <c r="A114" s="3"/>
      <c r="B114" s="3"/>
      <c r="C114" s="3"/>
      <c r="D114" s="3"/>
      <c r="E114" s="3"/>
      <c r="F114" s="20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>
      <c r="A115" s="3"/>
      <c r="B115" s="3"/>
      <c r="C115" s="3"/>
      <c r="D115" s="3"/>
      <c r="E115" s="3"/>
      <c r="F115" s="20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>
      <c r="A116" s="3"/>
      <c r="B116" s="3"/>
      <c r="C116" s="3"/>
      <c r="D116" s="3"/>
      <c r="E116" s="3"/>
      <c r="F116" s="20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>
      <c r="A117" s="3"/>
      <c r="B117" s="3"/>
      <c r="C117" s="3"/>
      <c r="D117" s="3"/>
      <c r="E117" s="3"/>
      <c r="F117" s="20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>
      <c r="A118" s="3"/>
      <c r="B118" s="3"/>
      <c r="C118" s="3"/>
      <c r="D118" s="3"/>
      <c r="E118" s="3"/>
      <c r="F118" s="20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>
      <c r="A119" s="3"/>
      <c r="B119" s="3"/>
      <c r="C119" s="3"/>
      <c r="D119" s="3"/>
      <c r="E119" s="3"/>
      <c r="F119" s="20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>
      <c r="A120" s="3"/>
      <c r="B120" s="3"/>
      <c r="C120" s="3"/>
      <c r="D120" s="3"/>
      <c r="E120" s="3"/>
      <c r="F120" s="20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>
      <c r="A121" s="3"/>
      <c r="B121" s="3"/>
      <c r="C121" s="3"/>
      <c r="D121" s="3"/>
      <c r="E121" s="3"/>
      <c r="F121" s="20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>
      <c r="A122" s="3"/>
      <c r="B122" s="3"/>
      <c r="C122" s="3"/>
      <c r="D122" s="3"/>
      <c r="E122" s="3"/>
      <c r="F122" s="20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>
      <c r="A123" s="3"/>
      <c r="B123" s="3"/>
      <c r="C123" s="3"/>
      <c r="D123" s="3"/>
      <c r="E123" s="3"/>
      <c r="F123" s="20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>
      <c r="A124" s="3"/>
      <c r="B124" s="3"/>
      <c r="C124" s="3"/>
      <c r="D124" s="3"/>
      <c r="E124" s="3"/>
      <c r="F124" s="20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>
      <c r="A125" s="3"/>
      <c r="B125" s="3"/>
      <c r="C125" s="3"/>
      <c r="D125" s="3"/>
      <c r="E125" s="3"/>
      <c r="F125" s="20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>
      <c r="A126" s="3"/>
      <c r="B126" s="3"/>
      <c r="C126" s="3"/>
      <c r="D126" s="3"/>
      <c r="E126" s="3"/>
      <c r="F126" s="20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>
      <c r="A127" s="3"/>
      <c r="B127" s="3"/>
      <c r="C127" s="3"/>
      <c r="D127" s="3"/>
      <c r="E127" s="3"/>
      <c r="F127" s="20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>
      <c r="A128" s="3"/>
      <c r="B128" s="3"/>
      <c r="C128" s="3"/>
      <c r="D128" s="3"/>
      <c r="E128" s="3"/>
      <c r="F128" s="20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>
      <c r="A129" s="3"/>
      <c r="B129" s="3"/>
      <c r="C129" s="3"/>
      <c r="D129" s="3"/>
      <c r="E129" s="3"/>
      <c r="F129" s="20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>
      <c r="A130" s="3"/>
      <c r="B130" s="3"/>
      <c r="C130" s="3"/>
      <c r="D130" s="3"/>
      <c r="E130" s="3"/>
      <c r="F130" s="20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>
      <c r="A131" s="3"/>
      <c r="B131" s="3"/>
      <c r="C131" s="3"/>
      <c r="D131" s="3"/>
      <c r="E131" s="3"/>
      <c r="F131" s="20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>
      <c r="A132" s="3"/>
      <c r="B132" s="3"/>
      <c r="C132" s="3"/>
      <c r="D132" s="3"/>
      <c r="E132" s="3"/>
      <c r="F132" s="20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>
      <c r="A133" s="3"/>
      <c r="B133" s="3"/>
      <c r="C133" s="3"/>
      <c r="D133" s="3"/>
      <c r="E133" s="3"/>
      <c r="F133" s="20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>
      <c r="A134" s="3"/>
      <c r="B134" s="3"/>
      <c r="C134" s="3"/>
      <c r="D134" s="3"/>
      <c r="E134" s="3"/>
      <c r="F134" s="20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>
      <c r="A135" s="3"/>
      <c r="B135" s="3"/>
      <c r="C135" s="3"/>
      <c r="D135" s="3"/>
      <c r="E135" s="3"/>
      <c r="F135" s="20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>
      <c r="A136" s="3"/>
      <c r="B136" s="3"/>
      <c r="C136" s="3"/>
      <c r="D136" s="3"/>
      <c r="E136" s="3"/>
      <c r="F136" s="20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>
      <c r="A137" s="3"/>
      <c r="B137" s="3"/>
      <c r="C137" s="3"/>
      <c r="D137" s="3"/>
      <c r="E137" s="3"/>
      <c r="F137" s="20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>
      <c r="A138" s="3"/>
      <c r="B138" s="3"/>
      <c r="C138" s="3"/>
      <c r="D138" s="3"/>
      <c r="E138" s="3"/>
      <c r="F138" s="20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>
      <c r="A139" s="3"/>
      <c r="B139" s="3"/>
      <c r="C139" s="3"/>
      <c r="D139" s="3"/>
      <c r="E139" s="3"/>
      <c r="F139" s="20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>
      <c r="A140" s="3"/>
      <c r="B140" s="3"/>
      <c r="C140" s="3"/>
      <c r="D140" s="3"/>
      <c r="E140" s="3"/>
      <c r="F140" s="20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>
      <c r="A141" s="3"/>
      <c r="B141" s="3"/>
      <c r="C141" s="3"/>
      <c r="D141" s="3"/>
      <c r="E141" s="3"/>
      <c r="F141" s="20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>
      <c r="A142" s="3"/>
      <c r="B142" s="3"/>
      <c r="C142" s="3"/>
      <c r="D142" s="3"/>
      <c r="E142" s="3"/>
      <c r="F142" s="20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>
      <c r="A143" s="3"/>
      <c r="B143" s="3"/>
      <c r="C143" s="3"/>
      <c r="D143" s="3"/>
      <c r="E143" s="3"/>
      <c r="F143" s="20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>
      <c r="A144" s="3"/>
      <c r="B144" s="3"/>
      <c r="C144" s="3"/>
      <c r="D144" s="3"/>
      <c r="E144" s="3"/>
      <c r="F144" s="20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>
      <c r="A145" s="3"/>
      <c r="B145" s="3"/>
      <c r="C145" s="3"/>
      <c r="D145" s="3"/>
      <c r="E145" s="3"/>
      <c r="F145" s="20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>
      <c r="A146" s="3"/>
      <c r="B146" s="3"/>
      <c r="C146" s="3"/>
      <c r="D146" s="3"/>
      <c r="E146" s="3"/>
      <c r="F146" s="20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>
      <c r="A147" s="3"/>
      <c r="B147" s="3"/>
      <c r="C147" s="3"/>
      <c r="D147" s="3"/>
      <c r="E147" s="3"/>
      <c r="F147" s="20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>
      <c r="A148" s="3"/>
      <c r="B148" s="3"/>
      <c r="C148" s="3"/>
      <c r="D148" s="3"/>
      <c r="E148" s="3"/>
      <c r="F148" s="20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>
      <c r="A149" s="3"/>
      <c r="B149" s="3"/>
      <c r="C149" s="3"/>
      <c r="D149" s="3"/>
      <c r="E149" s="3"/>
      <c r="F149" s="20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>
      <c r="A150" s="3"/>
      <c r="B150" s="3"/>
      <c r="C150" s="3"/>
      <c r="D150" s="3"/>
      <c r="E150" s="3"/>
      <c r="F150" s="20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>
      <c r="A151" s="3"/>
      <c r="B151" s="3"/>
      <c r="C151" s="3"/>
      <c r="D151" s="3"/>
      <c r="E151" s="3"/>
      <c r="F151" s="20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>
      <c r="A152" s="3"/>
      <c r="B152" s="3"/>
      <c r="C152" s="3"/>
      <c r="D152" s="3"/>
      <c r="E152" s="3"/>
      <c r="F152" s="20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>
      <c r="A153" s="3"/>
      <c r="B153" s="3"/>
      <c r="C153" s="3"/>
      <c r="D153" s="3"/>
      <c r="E153" s="3"/>
      <c r="F153" s="20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>
      <c r="A154" s="3"/>
      <c r="B154" s="3"/>
      <c r="C154" s="3"/>
      <c r="D154" s="3"/>
      <c r="E154" s="3"/>
      <c r="F154" s="20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>
      <c r="A155" s="3"/>
      <c r="B155" s="3"/>
      <c r="C155" s="3"/>
      <c r="D155" s="3"/>
      <c r="E155" s="3"/>
      <c r="F155" s="20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>
      <c r="A156" s="3"/>
      <c r="B156" s="3"/>
      <c r="C156" s="3"/>
      <c r="D156" s="3"/>
      <c r="E156" s="3"/>
      <c r="F156" s="20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>
      <c r="A157" s="3"/>
      <c r="B157" s="3"/>
      <c r="C157" s="3"/>
      <c r="D157" s="3"/>
      <c r="E157" s="3"/>
      <c r="F157" s="20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>
      <c r="A158" s="3"/>
      <c r="B158" s="3"/>
      <c r="C158" s="3"/>
      <c r="D158" s="3"/>
      <c r="E158" s="3"/>
      <c r="F158" s="20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>
      <c r="A159" s="3"/>
      <c r="B159" s="3"/>
      <c r="C159" s="3"/>
      <c r="D159" s="3"/>
      <c r="E159" s="3"/>
      <c r="F159" s="20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>
      <c r="A160" s="3"/>
      <c r="B160" s="3"/>
      <c r="C160" s="3"/>
      <c r="D160" s="3"/>
      <c r="E160" s="3"/>
      <c r="F160" s="20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>
      <c r="A161" s="3"/>
      <c r="B161" s="3"/>
      <c r="C161" s="3"/>
      <c r="D161" s="3"/>
      <c r="E161" s="3"/>
      <c r="F161" s="20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>
      <c r="A162" s="3"/>
      <c r="B162" s="3"/>
      <c r="C162" s="3"/>
      <c r="D162" s="3"/>
      <c r="E162" s="3"/>
      <c r="F162" s="20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>
      <c r="A163" s="3"/>
      <c r="B163" s="3"/>
      <c r="C163" s="3"/>
      <c r="D163" s="3"/>
      <c r="E163" s="3"/>
      <c r="F163" s="20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>
      <c r="A164" s="3"/>
      <c r="B164" s="3"/>
      <c r="C164" s="3"/>
      <c r="D164" s="3"/>
      <c r="E164" s="3"/>
      <c r="F164" s="20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>
      <c r="A165" s="3"/>
      <c r="B165" s="3"/>
      <c r="C165" s="3"/>
      <c r="D165" s="3"/>
      <c r="E165" s="3"/>
      <c r="F165" s="20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>
      <c r="A166" s="3"/>
      <c r="B166" s="3"/>
      <c r="C166" s="3"/>
      <c r="D166" s="3"/>
      <c r="E166" s="3"/>
      <c r="F166" s="20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>
      <c r="A167" s="3"/>
      <c r="B167" s="3"/>
      <c r="C167" s="3"/>
      <c r="D167" s="3"/>
      <c r="E167" s="3"/>
      <c r="F167" s="20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>
      <c r="A168" s="3"/>
      <c r="B168" s="3"/>
      <c r="C168" s="3"/>
      <c r="D168" s="3"/>
      <c r="E168" s="3"/>
      <c r="F168" s="20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>
      <c r="A169" s="3"/>
      <c r="B169" s="3"/>
      <c r="C169" s="3"/>
      <c r="D169" s="3"/>
      <c r="E169" s="3"/>
      <c r="F169" s="20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>
      <c r="A170" s="3"/>
      <c r="B170" s="3"/>
      <c r="C170" s="3"/>
      <c r="D170" s="3"/>
      <c r="E170" s="3"/>
      <c r="F170" s="20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>
      <c r="A171" s="3"/>
      <c r="B171" s="3"/>
      <c r="C171" s="3"/>
      <c r="D171" s="3"/>
      <c r="E171" s="3"/>
      <c r="F171" s="20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>
      <c r="A172" s="3"/>
      <c r="B172" s="3"/>
      <c r="C172" s="3"/>
      <c r="D172" s="3"/>
      <c r="E172" s="3"/>
      <c r="F172" s="20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>
      <c r="A173" s="3"/>
      <c r="B173" s="3"/>
      <c r="C173" s="3"/>
      <c r="D173" s="3"/>
      <c r="E173" s="3"/>
      <c r="F173" s="20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>
      <c r="A174" s="3"/>
      <c r="B174" s="3"/>
      <c r="C174" s="3"/>
      <c r="D174" s="3"/>
      <c r="E174" s="3"/>
      <c r="F174" s="20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>
      <c r="A175" s="3"/>
      <c r="B175" s="3"/>
      <c r="C175" s="3"/>
      <c r="D175" s="3"/>
      <c r="E175" s="3"/>
      <c r="F175" s="20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>
      <c r="A176" s="3"/>
      <c r="B176" s="3"/>
      <c r="C176" s="3"/>
      <c r="D176" s="3"/>
      <c r="E176" s="3"/>
      <c r="F176" s="20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>
      <c r="A177" s="3"/>
      <c r="B177" s="3"/>
      <c r="C177" s="3"/>
      <c r="D177" s="3"/>
      <c r="E177" s="3"/>
      <c r="F177" s="20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>
      <c r="A178" s="3"/>
      <c r="B178" s="3"/>
      <c r="C178" s="3"/>
      <c r="D178" s="3"/>
      <c r="E178" s="3"/>
      <c r="F178" s="20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>
      <c r="A179" s="3"/>
      <c r="B179" s="3"/>
      <c r="C179" s="3"/>
      <c r="D179" s="3"/>
      <c r="E179" s="3"/>
      <c r="F179" s="20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>
      <c r="A180" s="3"/>
      <c r="B180" s="3"/>
      <c r="C180" s="3"/>
      <c r="D180" s="3"/>
      <c r="E180" s="3"/>
      <c r="F180" s="20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>
      <c r="A181" s="3"/>
      <c r="B181" s="3"/>
      <c r="C181" s="3"/>
      <c r="D181" s="3"/>
      <c r="E181" s="3"/>
      <c r="F181" s="20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>
      <c r="A182" s="3"/>
      <c r="B182" s="3"/>
      <c r="C182" s="3"/>
      <c r="D182" s="3"/>
      <c r="E182" s="3"/>
      <c r="F182" s="20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>
      <c r="A183" s="3"/>
      <c r="B183" s="3"/>
      <c r="C183" s="3"/>
      <c r="D183" s="3"/>
      <c r="E183" s="3"/>
      <c r="F183" s="20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>
      <c r="A184" s="3"/>
      <c r="B184" s="3"/>
      <c r="C184" s="3"/>
      <c r="D184" s="3"/>
      <c r="E184" s="3"/>
      <c r="F184" s="20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>
      <c r="A185" s="3"/>
      <c r="B185" s="3"/>
      <c r="C185" s="3"/>
      <c r="D185" s="3"/>
      <c r="E185" s="3"/>
      <c r="F185" s="20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>
      <c r="A186" s="3"/>
      <c r="B186" s="3"/>
      <c r="C186" s="3"/>
      <c r="D186" s="3"/>
      <c r="E186" s="3"/>
      <c r="F186" s="20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>
      <c r="A187" s="3"/>
      <c r="B187" s="3"/>
      <c r="C187" s="3"/>
      <c r="D187" s="3"/>
      <c r="E187" s="3"/>
      <c r="F187" s="20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>
      <c r="A188" s="3"/>
      <c r="B188" s="3"/>
      <c r="C188" s="3"/>
      <c r="D188" s="3"/>
      <c r="E188" s="3"/>
      <c r="F188" s="20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>
      <c r="A189" s="3"/>
      <c r="B189" s="3"/>
      <c r="C189" s="3"/>
      <c r="D189" s="3"/>
      <c r="E189" s="3"/>
      <c r="F189" s="20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>
      <c r="A190" s="3"/>
      <c r="B190" s="3"/>
      <c r="C190" s="3"/>
      <c r="D190" s="3"/>
      <c r="E190" s="3"/>
      <c r="F190" s="20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>
      <c r="A191" s="3"/>
      <c r="B191" s="3"/>
      <c r="C191" s="3"/>
      <c r="D191" s="3"/>
      <c r="E191" s="3"/>
      <c r="F191" s="20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>
      <c r="A192" s="3"/>
      <c r="B192" s="3"/>
      <c r="C192" s="3"/>
      <c r="D192" s="3"/>
      <c r="E192" s="3"/>
      <c r="F192" s="20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>
      <c r="A193" s="3"/>
      <c r="B193" s="3"/>
      <c r="C193" s="3"/>
      <c r="D193" s="3"/>
      <c r="E193" s="3"/>
      <c r="F193" s="20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>
      <c r="A194" s="3"/>
      <c r="B194" s="3"/>
      <c r="C194" s="3"/>
      <c r="D194" s="3"/>
      <c r="E194" s="3"/>
      <c r="F194" s="20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>
      <c r="A195" s="3"/>
      <c r="B195" s="3"/>
      <c r="C195" s="3"/>
      <c r="D195" s="3"/>
      <c r="E195" s="3"/>
      <c r="F195" s="20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>
      <c r="A196" s="3"/>
      <c r="B196" s="3"/>
      <c r="C196" s="3"/>
      <c r="D196" s="3"/>
      <c r="E196" s="3"/>
      <c r="F196" s="20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>
      <c r="A197" s="3"/>
      <c r="B197" s="3"/>
      <c r="C197" s="3"/>
      <c r="D197" s="3"/>
      <c r="E197" s="3"/>
      <c r="F197" s="20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>
      <c r="A198" s="3"/>
      <c r="B198" s="3"/>
      <c r="C198" s="3"/>
      <c r="D198" s="3"/>
      <c r="E198" s="3"/>
      <c r="F198" s="20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>
      <c r="A199" s="3"/>
      <c r="B199" s="3"/>
      <c r="C199" s="3"/>
      <c r="D199" s="3"/>
      <c r="E199" s="3"/>
      <c r="F199" s="20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>
      <c r="A200" s="3"/>
      <c r="B200" s="3"/>
      <c r="C200" s="3"/>
      <c r="D200" s="3"/>
      <c r="E200" s="3"/>
      <c r="F200" s="20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>
      <c r="A201" s="3"/>
      <c r="B201" s="3"/>
      <c r="C201" s="3"/>
      <c r="D201" s="3"/>
      <c r="E201" s="3"/>
      <c r="F201" s="20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>
      <c r="A202" s="3"/>
      <c r="B202" s="3"/>
      <c r="C202" s="3"/>
      <c r="D202" s="3"/>
      <c r="E202" s="3"/>
      <c r="F202" s="20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>
      <c r="A203" s="3"/>
      <c r="B203" s="3"/>
      <c r="C203" s="3"/>
      <c r="D203" s="3"/>
      <c r="E203" s="3"/>
      <c r="F203" s="20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>
      <c r="A204" s="3"/>
      <c r="B204" s="3"/>
      <c r="C204" s="3"/>
      <c r="D204" s="3"/>
      <c r="E204" s="3"/>
      <c r="F204" s="20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>
      <c r="A205" s="3"/>
      <c r="B205" s="3"/>
      <c r="C205" s="3"/>
      <c r="D205" s="3"/>
      <c r="E205" s="3"/>
      <c r="F205" s="20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>
      <c r="A206" s="3"/>
      <c r="B206" s="3"/>
      <c r="C206" s="3"/>
      <c r="D206" s="3"/>
      <c r="E206" s="3"/>
      <c r="F206" s="20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>
      <c r="A207" s="3"/>
      <c r="B207" s="3"/>
      <c r="C207" s="3"/>
      <c r="D207" s="3"/>
      <c r="E207" s="3"/>
      <c r="F207" s="20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>
      <c r="A208" s="3"/>
      <c r="B208" s="3"/>
      <c r="C208" s="3"/>
      <c r="D208" s="3"/>
      <c r="E208" s="3"/>
      <c r="F208" s="20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>
      <c r="A209" s="3"/>
      <c r="B209" s="3"/>
      <c r="C209" s="3"/>
      <c r="D209" s="3"/>
      <c r="E209" s="3"/>
      <c r="F209" s="20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>
      <c r="A210" s="3"/>
      <c r="B210" s="3"/>
      <c r="C210" s="3"/>
      <c r="D210" s="3"/>
      <c r="E210" s="3"/>
      <c r="F210" s="20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>
      <c r="A211" s="3"/>
      <c r="B211" s="3"/>
      <c r="C211" s="3"/>
      <c r="D211" s="3"/>
      <c r="E211" s="3"/>
      <c r="F211" s="20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>
      <c r="A212" s="3"/>
      <c r="B212" s="3"/>
      <c r="C212" s="3"/>
      <c r="D212" s="3"/>
      <c r="E212" s="3"/>
      <c r="F212" s="20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>
      <c r="A213" s="3"/>
      <c r="B213" s="3"/>
      <c r="C213" s="3"/>
      <c r="D213" s="3"/>
      <c r="E213" s="3"/>
      <c r="F213" s="20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>
      <c r="A214" s="3"/>
      <c r="B214" s="3"/>
      <c r="C214" s="3"/>
      <c r="D214" s="3"/>
      <c r="E214" s="3"/>
      <c r="F214" s="20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>
      <c r="A215" s="3"/>
      <c r="B215" s="3"/>
      <c r="C215" s="3"/>
      <c r="D215" s="3"/>
      <c r="E215" s="3"/>
      <c r="F215" s="20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>
      <c r="A216" s="3"/>
      <c r="B216" s="3"/>
      <c r="C216" s="3"/>
      <c r="D216" s="3"/>
      <c r="E216" s="3"/>
      <c r="F216" s="20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>
      <c r="A217" s="3"/>
      <c r="B217" s="3"/>
      <c r="C217" s="3"/>
      <c r="D217" s="3"/>
      <c r="E217" s="3"/>
      <c r="F217" s="20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>
      <c r="A218" s="3"/>
      <c r="B218" s="3"/>
      <c r="C218" s="3"/>
      <c r="D218" s="3"/>
      <c r="E218" s="3"/>
      <c r="F218" s="20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>
      <c r="A219" s="3"/>
      <c r="B219" s="3"/>
      <c r="C219" s="3"/>
      <c r="D219" s="3"/>
      <c r="E219" s="3"/>
      <c r="F219" s="20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>
      <c r="A220" s="3"/>
      <c r="B220" s="3"/>
      <c r="C220" s="3"/>
      <c r="D220" s="3"/>
      <c r="E220" s="3"/>
      <c r="F220" s="20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>
      <c r="A221" s="3"/>
      <c r="B221" s="3"/>
      <c r="C221" s="3"/>
      <c r="D221" s="3"/>
      <c r="E221" s="3"/>
      <c r="F221" s="20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>
      <c r="A222" s="3"/>
      <c r="B222" s="3"/>
      <c r="C222" s="3"/>
      <c r="D222" s="3"/>
      <c r="E222" s="3"/>
      <c r="F222" s="20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>
      <c r="A223" s="3"/>
      <c r="B223" s="3"/>
      <c r="C223" s="3"/>
      <c r="D223" s="3"/>
      <c r="E223" s="3"/>
      <c r="F223" s="20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>
      <c r="A224" s="3"/>
      <c r="B224" s="3"/>
      <c r="C224" s="3"/>
      <c r="D224" s="3"/>
      <c r="E224" s="3"/>
      <c r="F224" s="20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>
      <c r="A225" s="3"/>
      <c r="B225" s="3"/>
      <c r="C225" s="3"/>
      <c r="D225" s="3"/>
      <c r="E225" s="3"/>
      <c r="F225" s="20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>
      <c r="A226" s="3"/>
      <c r="B226" s="3"/>
      <c r="C226" s="3"/>
      <c r="D226" s="3"/>
      <c r="E226" s="3"/>
      <c r="F226" s="20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>
      <c r="A227" s="3"/>
      <c r="B227" s="3"/>
      <c r="C227" s="3"/>
      <c r="D227" s="3"/>
      <c r="E227" s="3"/>
      <c r="F227" s="20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>
      <c r="A228" s="3"/>
      <c r="B228" s="3"/>
      <c r="C228" s="3"/>
      <c r="D228" s="3"/>
      <c r="E228" s="3"/>
      <c r="F228" s="20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>
      <c r="A229" s="3"/>
      <c r="B229" s="3"/>
      <c r="C229" s="3"/>
      <c r="D229" s="3"/>
      <c r="E229" s="3"/>
      <c r="F229" s="20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>
      <c r="A230" s="3"/>
      <c r="B230" s="3"/>
      <c r="C230" s="3"/>
      <c r="D230" s="3"/>
      <c r="E230" s="3"/>
      <c r="F230" s="20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>
      <c r="A231" s="3"/>
      <c r="B231" s="3"/>
      <c r="C231" s="3"/>
      <c r="D231" s="3"/>
      <c r="E231" s="3"/>
      <c r="F231" s="20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>
      <c r="A232" s="3"/>
      <c r="B232" s="3"/>
      <c r="C232" s="3"/>
      <c r="D232" s="3"/>
      <c r="E232" s="3"/>
      <c r="F232" s="20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>
      <c r="A233" s="3"/>
      <c r="B233" s="3"/>
      <c r="C233" s="3"/>
      <c r="D233" s="3"/>
      <c r="E233" s="3"/>
      <c r="F233" s="20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>
      <c r="A234" s="3"/>
      <c r="B234" s="3"/>
      <c r="C234" s="3"/>
      <c r="D234" s="3"/>
      <c r="E234" s="3"/>
      <c r="F234" s="20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>
      <c r="A235" s="3"/>
      <c r="B235" s="3"/>
      <c r="C235" s="3"/>
      <c r="D235" s="3"/>
      <c r="E235" s="3"/>
      <c r="F235" s="20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>
      <c r="A236" s="3"/>
      <c r="B236" s="3"/>
      <c r="C236" s="3"/>
      <c r="D236" s="3"/>
      <c r="E236" s="3"/>
      <c r="F236" s="20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>
      <c r="A237" s="3"/>
      <c r="B237" s="3"/>
      <c r="C237" s="3"/>
      <c r="D237" s="3"/>
      <c r="E237" s="3"/>
      <c r="F237" s="20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>
      <c r="A238" s="3"/>
      <c r="B238" s="3"/>
      <c r="C238" s="3"/>
      <c r="D238" s="3"/>
      <c r="E238" s="3"/>
      <c r="F238" s="20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>
      <c r="A239" s="3"/>
      <c r="B239" s="3"/>
      <c r="C239" s="3"/>
      <c r="D239" s="3"/>
      <c r="E239" s="3"/>
      <c r="F239" s="20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>
      <c r="A240" s="3"/>
      <c r="B240" s="3"/>
      <c r="C240" s="3"/>
      <c r="D240" s="3"/>
      <c r="E240" s="3"/>
      <c r="F240" s="20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>
      <c r="A241" s="3"/>
      <c r="B241" s="3"/>
      <c r="C241" s="3"/>
      <c r="D241" s="3"/>
      <c r="E241" s="3"/>
      <c r="F241" s="20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>
      <c r="A242" s="3"/>
      <c r="B242" s="3"/>
      <c r="C242" s="3"/>
      <c r="D242" s="3"/>
      <c r="E242" s="3"/>
      <c r="F242" s="20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>
      <c r="A243" s="3"/>
      <c r="B243" s="3"/>
      <c r="C243" s="3"/>
      <c r="D243" s="3"/>
      <c r="E243" s="3"/>
      <c r="F243" s="20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>
      <c r="A244" s="3"/>
      <c r="B244" s="3"/>
      <c r="C244" s="3"/>
      <c r="D244" s="3"/>
      <c r="E244" s="3"/>
      <c r="F244" s="20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>
      <c r="A245" s="3"/>
      <c r="B245" s="3"/>
      <c r="C245" s="3"/>
      <c r="D245" s="3"/>
      <c r="E245" s="3"/>
      <c r="F245" s="20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>
      <c r="A246" s="3"/>
      <c r="B246" s="3"/>
      <c r="C246" s="3"/>
      <c r="D246" s="3"/>
      <c r="E246" s="3"/>
      <c r="F246" s="20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>
      <c r="A247" s="3"/>
      <c r="B247" s="3"/>
      <c r="C247" s="3"/>
      <c r="D247" s="3"/>
      <c r="E247" s="3"/>
      <c r="F247" s="20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>
      <c r="A248" s="3"/>
      <c r="B248" s="3"/>
      <c r="C248" s="3"/>
      <c r="D248" s="3"/>
      <c r="E248" s="3"/>
      <c r="F248" s="20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>
      <c r="A249" s="3"/>
      <c r="B249" s="3"/>
      <c r="C249" s="3"/>
      <c r="D249" s="3"/>
      <c r="E249" s="3"/>
      <c r="F249" s="20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>
      <c r="A250" s="3"/>
      <c r="B250" s="3"/>
      <c r="C250" s="3"/>
      <c r="D250" s="3"/>
      <c r="E250" s="3"/>
      <c r="F250" s="20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>
      <c r="A251" s="3"/>
      <c r="B251" s="3"/>
      <c r="C251" s="3"/>
      <c r="D251" s="3"/>
      <c r="E251" s="3"/>
      <c r="F251" s="20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>
      <c r="A252" s="3"/>
      <c r="B252" s="3"/>
      <c r="C252" s="3"/>
      <c r="D252" s="3"/>
      <c r="E252" s="3"/>
      <c r="F252" s="20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>
      <c r="A253" s="3"/>
      <c r="B253" s="3"/>
      <c r="C253" s="3"/>
      <c r="D253" s="3"/>
      <c r="E253" s="3"/>
      <c r="F253" s="20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>
      <c r="A254" s="3"/>
      <c r="B254" s="3"/>
      <c r="C254" s="3"/>
      <c r="D254" s="3"/>
      <c r="E254" s="3"/>
      <c r="F254" s="20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>
      <c r="A255" s="3"/>
      <c r="B255" s="3"/>
      <c r="C255" s="3"/>
      <c r="D255" s="3"/>
      <c r="E255" s="3"/>
      <c r="F255" s="20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>
      <c r="A256" s="3"/>
      <c r="B256" s="3"/>
      <c r="C256" s="3"/>
      <c r="D256" s="3"/>
      <c r="E256" s="3"/>
      <c r="F256" s="20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>
      <c r="A257" s="3"/>
      <c r="B257" s="3"/>
      <c r="C257" s="3"/>
      <c r="D257" s="3"/>
      <c r="E257" s="3"/>
      <c r="F257" s="20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>
      <c r="A258" s="3"/>
      <c r="B258" s="3"/>
      <c r="C258" s="3"/>
      <c r="D258" s="3"/>
      <c r="E258" s="3"/>
      <c r="F258" s="20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>
      <c r="A259" s="3"/>
      <c r="B259" s="3"/>
      <c r="C259" s="3"/>
      <c r="D259" s="3"/>
      <c r="E259" s="3"/>
      <c r="F259" s="20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>
      <c r="A260" s="3"/>
      <c r="B260" s="3"/>
      <c r="C260" s="3"/>
      <c r="D260" s="3"/>
      <c r="E260" s="3"/>
      <c r="F260" s="20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>
      <c r="A261" s="3"/>
      <c r="B261" s="3"/>
      <c r="C261" s="3"/>
      <c r="D261" s="3"/>
      <c r="E261" s="3"/>
      <c r="F261" s="20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>
      <c r="A262" s="3"/>
      <c r="B262" s="3"/>
      <c r="C262" s="3"/>
      <c r="D262" s="3"/>
      <c r="E262" s="3"/>
      <c r="F262" s="20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>
      <c r="A263" s="3"/>
      <c r="B263" s="3"/>
      <c r="C263" s="3"/>
      <c r="D263" s="3"/>
      <c r="E263" s="3"/>
      <c r="F263" s="20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>
      <c r="A264" s="3"/>
      <c r="B264" s="3"/>
      <c r="C264" s="3"/>
      <c r="D264" s="3"/>
      <c r="E264" s="3"/>
      <c r="F264" s="20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>
      <c r="A265" s="3"/>
      <c r="B265" s="3"/>
      <c r="C265" s="3"/>
      <c r="D265" s="3"/>
      <c r="E265" s="3"/>
      <c r="F265" s="20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>
      <c r="A266" s="3"/>
      <c r="B266" s="3"/>
      <c r="C266" s="3"/>
      <c r="D266" s="3"/>
      <c r="E266" s="3"/>
      <c r="F266" s="20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>
      <c r="A267" s="3"/>
      <c r="B267" s="3"/>
      <c r="C267" s="3"/>
      <c r="D267" s="3"/>
      <c r="E267" s="3"/>
      <c r="F267" s="20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>
      <c r="A268" s="3"/>
      <c r="B268" s="3"/>
      <c r="C268" s="3"/>
      <c r="D268" s="3"/>
      <c r="E268" s="3"/>
      <c r="F268" s="20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>
      <c r="A269" s="3"/>
      <c r="B269" s="3"/>
      <c r="C269" s="3"/>
      <c r="D269" s="3"/>
      <c r="E269" s="3"/>
      <c r="F269" s="20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>
      <c r="A270" s="3"/>
      <c r="B270" s="3"/>
      <c r="C270" s="3"/>
      <c r="D270" s="3"/>
      <c r="E270" s="3"/>
      <c r="F270" s="20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>
      <c r="A271" s="3"/>
      <c r="B271" s="3"/>
      <c r="C271" s="3"/>
      <c r="D271" s="3"/>
      <c r="E271" s="3"/>
      <c r="F271" s="20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>
      <c r="A272" s="3"/>
      <c r="B272" s="3"/>
      <c r="C272" s="3"/>
      <c r="D272" s="3"/>
      <c r="E272" s="3"/>
      <c r="F272" s="20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>
      <c r="A273" s="3"/>
      <c r="B273" s="3"/>
      <c r="C273" s="3"/>
      <c r="D273" s="3"/>
      <c r="E273" s="3"/>
      <c r="F273" s="20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>
      <c r="A274" s="3"/>
      <c r="B274" s="3"/>
      <c r="C274" s="3"/>
      <c r="D274" s="3"/>
      <c r="E274" s="3"/>
      <c r="F274" s="20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>
      <c r="A275" s="3"/>
      <c r="B275" s="3"/>
      <c r="C275" s="3"/>
      <c r="D275" s="3"/>
      <c r="E275" s="3"/>
      <c r="F275" s="20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>
      <c r="A276" s="3"/>
      <c r="B276" s="3"/>
      <c r="C276" s="3"/>
      <c r="D276" s="3"/>
      <c r="E276" s="3"/>
      <c r="F276" s="20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>
      <c r="A277" s="3"/>
      <c r="B277" s="3"/>
      <c r="C277" s="3"/>
      <c r="D277" s="3"/>
      <c r="E277" s="3"/>
      <c r="F277" s="20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>
      <c r="A278" s="3"/>
      <c r="B278" s="3"/>
      <c r="C278" s="3"/>
      <c r="D278" s="3"/>
      <c r="E278" s="3"/>
      <c r="F278" s="20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>
      <c r="A279" s="3"/>
      <c r="B279" s="3"/>
      <c r="C279" s="3"/>
      <c r="D279" s="3"/>
      <c r="E279" s="3"/>
      <c r="F279" s="20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>
      <c r="A280" s="3"/>
      <c r="B280" s="3"/>
      <c r="C280" s="3"/>
      <c r="D280" s="3"/>
      <c r="E280" s="3"/>
      <c r="F280" s="20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>
      <c r="A281" s="3"/>
      <c r="B281" s="3"/>
      <c r="C281" s="3"/>
      <c r="D281" s="3"/>
      <c r="E281" s="3"/>
      <c r="F281" s="20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>
      <c r="A282" s="3"/>
      <c r="B282" s="3"/>
      <c r="C282" s="3"/>
      <c r="D282" s="3"/>
      <c r="E282" s="3"/>
      <c r="F282" s="20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>
      <c r="A283" s="3"/>
      <c r="B283" s="3"/>
      <c r="C283" s="3"/>
      <c r="D283" s="3"/>
      <c r="E283" s="3"/>
      <c r="F283" s="20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>
      <c r="A284" s="3"/>
      <c r="B284" s="3"/>
      <c r="C284" s="3"/>
      <c r="D284" s="3"/>
      <c r="E284" s="3"/>
      <c r="F284" s="20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>
      <c r="A285" s="3"/>
      <c r="B285" s="3"/>
      <c r="C285" s="3"/>
      <c r="D285" s="3"/>
      <c r="E285" s="3"/>
      <c r="F285" s="20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>
      <c r="A286" s="3"/>
      <c r="B286" s="3"/>
      <c r="C286" s="3"/>
      <c r="D286" s="3"/>
      <c r="E286" s="3"/>
      <c r="F286" s="20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>
      <c r="A287" s="3"/>
      <c r="B287" s="3"/>
      <c r="C287" s="3"/>
      <c r="D287" s="3"/>
      <c r="E287" s="3"/>
      <c r="F287" s="20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>
      <c r="A288" s="3"/>
      <c r="B288" s="3"/>
      <c r="C288" s="3"/>
      <c r="D288" s="3"/>
      <c r="E288" s="3"/>
      <c r="F288" s="20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>
      <c r="A289" s="3"/>
      <c r="B289" s="3"/>
      <c r="C289" s="3"/>
      <c r="D289" s="3"/>
      <c r="E289" s="3"/>
      <c r="F289" s="20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>
      <c r="A290" s="3"/>
      <c r="B290" s="3"/>
      <c r="C290" s="3"/>
      <c r="D290" s="3"/>
      <c r="E290" s="3"/>
      <c r="F290" s="20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>
      <c r="A291" s="3"/>
      <c r="B291" s="3"/>
      <c r="C291" s="3"/>
      <c r="D291" s="3"/>
      <c r="E291" s="3"/>
      <c r="F291" s="20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>
      <c r="A292" s="3"/>
      <c r="B292" s="3"/>
      <c r="C292" s="3"/>
      <c r="D292" s="3"/>
      <c r="E292" s="3"/>
      <c r="F292" s="20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>
      <c r="A293" s="3"/>
      <c r="B293" s="3"/>
      <c r="C293" s="3"/>
      <c r="D293" s="3"/>
      <c r="E293" s="3"/>
      <c r="F293" s="20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>
      <c r="A294" s="3"/>
      <c r="B294" s="3"/>
      <c r="C294" s="3"/>
      <c r="D294" s="3"/>
      <c r="E294" s="3"/>
      <c r="F294" s="20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>
      <c r="A295" s="3"/>
      <c r="B295" s="3"/>
      <c r="C295" s="3"/>
      <c r="D295" s="3"/>
      <c r="E295" s="3"/>
      <c r="F295" s="20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>
      <c r="A296" s="3"/>
      <c r="B296" s="3"/>
      <c r="C296" s="3"/>
      <c r="D296" s="3"/>
      <c r="E296" s="3"/>
      <c r="F296" s="20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>
      <c r="A297" s="3"/>
      <c r="B297" s="3"/>
      <c r="C297" s="3"/>
      <c r="D297" s="3"/>
      <c r="E297" s="3"/>
      <c r="F297" s="20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>
      <c r="A298" s="3"/>
      <c r="B298" s="3"/>
      <c r="C298" s="3"/>
      <c r="D298" s="3"/>
      <c r="E298" s="3"/>
      <c r="F298" s="20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>
      <c r="A299" s="3"/>
      <c r="B299" s="3"/>
      <c r="C299" s="3"/>
      <c r="D299" s="3"/>
      <c r="E299" s="3"/>
      <c r="F299" s="20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>
      <c r="A300" s="3"/>
      <c r="B300" s="3"/>
      <c r="C300" s="3"/>
      <c r="D300" s="3"/>
      <c r="E300" s="3"/>
      <c r="F300" s="20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>
      <c r="A301" s="3"/>
      <c r="B301" s="3"/>
      <c r="C301" s="3"/>
      <c r="D301" s="3"/>
      <c r="E301" s="3"/>
      <c r="F301" s="20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>
      <c r="A302" s="3"/>
      <c r="B302" s="3"/>
      <c r="C302" s="3"/>
      <c r="D302" s="3"/>
      <c r="E302" s="3"/>
      <c r="F302" s="20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>
      <c r="A303" s="3"/>
      <c r="B303" s="3"/>
      <c r="C303" s="3"/>
      <c r="D303" s="3"/>
      <c r="E303" s="3"/>
      <c r="F303" s="20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>
      <c r="A304" s="3"/>
      <c r="B304" s="3"/>
      <c r="C304" s="3"/>
      <c r="D304" s="3"/>
      <c r="E304" s="3"/>
      <c r="F304" s="20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>
      <c r="A305" s="3"/>
      <c r="B305" s="3"/>
      <c r="C305" s="3"/>
      <c r="D305" s="3"/>
      <c r="E305" s="3"/>
      <c r="F305" s="20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>
      <c r="A306" s="3"/>
      <c r="B306" s="3"/>
      <c r="C306" s="3"/>
      <c r="D306" s="3"/>
      <c r="E306" s="3"/>
      <c r="F306" s="20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>
      <c r="A307" s="3"/>
      <c r="B307" s="3"/>
      <c r="C307" s="3"/>
      <c r="D307" s="3"/>
      <c r="E307" s="3"/>
      <c r="F307" s="20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>
      <c r="A308" s="3"/>
      <c r="B308" s="3"/>
      <c r="C308" s="3"/>
      <c r="D308" s="3"/>
      <c r="E308" s="3"/>
      <c r="F308" s="20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>
      <c r="A309" s="3"/>
      <c r="B309" s="3"/>
      <c r="C309" s="3"/>
      <c r="D309" s="3"/>
      <c r="E309" s="3"/>
      <c r="F309" s="20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>
      <c r="A310" s="3"/>
      <c r="B310" s="3"/>
      <c r="C310" s="3"/>
      <c r="D310" s="3"/>
      <c r="E310" s="3"/>
      <c r="F310" s="20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>
      <c r="A311" s="3"/>
      <c r="B311" s="3"/>
      <c r="C311" s="3"/>
      <c r="D311" s="3"/>
      <c r="E311" s="3"/>
      <c r="F311" s="20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>
      <c r="A312" s="3"/>
      <c r="B312" s="3"/>
      <c r="C312" s="3"/>
      <c r="D312" s="3"/>
      <c r="E312" s="3"/>
      <c r="F312" s="20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>
      <c r="A313" s="3"/>
      <c r="B313" s="3"/>
      <c r="C313" s="3"/>
      <c r="D313" s="3"/>
      <c r="E313" s="3"/>
      <c r="F313" s="20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>
      <c r="A314" s="3"/>
      <c r="B314" s="3"/>
      <c r="C314" s="3"/>
      <c r="D314" s="3"/>
      <c r="E314" s="3"/>
      <c r="F314" s="20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>
      <c r="A315" s="3"/>
      <c r="B315" s="3"/>
      <c r="C315" s="3"/>
      <c r="D315" s="3"/>
      <c r="E315" s="3"/>
      <c r="F315" s="20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>
      <c r="A316" s="3"/>
      <c r="B316" s="3"/>
      <c r="C316" s="3"/>
      <c r="D316" s="3"/>
      <c r="E316" s="3"/>
      <c r="F316" s="20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>
      <c r="A317" s="3"/>
      <c r="B317" s="3"/>
      <c r="C317" s="3"/>
      <c r="D317" s="3"/>
      <c r="E317" s="3"/>
      <c r="F317" s="20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>
      <c r="A318" s="3"/>
      <c r="B318" s="3"/>
      <c r="C318" s="3"/>
      <c r="D318" s="3"/>
      <c r="E318" s="3"/>
      <c r="F318" s="20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>
      <c r="A319" s="3"/>
      <c r="B319" s="3"/>
      <c r="C319" s="3"/>
      <c r="D319" s="3"/>
      <c r="E319" s="3"/>
      <c r="F319" s="20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>
      <c r="A320" s="3"/>
      <c r="B320" s="3"/>
      <c r="C320" s="3"/>
      <c r="D320" s="3"/>
      <c r="E320" s="3"/>
      <c r="F320" s="20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>
      <c r="A321" s="3"/>
      <c r="B321" s="3"/>
      <c r="C321" s="3"/>
      <c r="D321" s="3"/>
      <c r="E321" s="3"/>
      <c r="F321" s="20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>
      <c r="A322" s="3"/>
      <c r="B322" s="3"/>
      <c r="C322" s="3"/>
      <c r="D322" s="3"/>
      <c r="E322" s="3"/>
      <c r="F322" s="20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>
      <c r="A323" s="3"/>
      <c r="B323" s="3"/>
      <c r="C323" s="3"/>
      <c r="D323" s="3"/>
      <c r="E323" s="3"/>
      <c r="F323" s="20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>
      <c r="A324" s="3"/>
      <c r="B324" s="3"/>
      <c r="C324" s="3"/>
      <c r="D324" s="3"/>
      <c r="E324" s="3"/>
      <c r="F324" s="20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>
      <c r="A325" s="3"/>
      <c r="B325" s="3"/>
      <c r="C325" s="3"/>
      <c r="D325" s="3"/>
      <c r="E325" s="3"/>
      <c r="F325" s="20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>
      <c r="A326" s="3"/>
      <c r="B326" s="3"/>
      <c r="C326" s="3"/>
      <c r="D326" s="3"/>
      <c r="E326" s="3"/>
      <c r="F326" s="20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>
      <c r="A327" s="3"/>
      <c r="B327" s="3"/>
      <c r="C327" s="3"/>
      <c r="D327" s="3"/>
      <c r="E327" s="3"/>
      <c r="F327" s="20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>
      <c r="A328" s="3"/>
      <c r="B328" s="3"/>
      <c r="C328" s="3"/>
      <c r="D328" s="3"/>
      <c r="E328" s="3"/>
      <c r="F328" s="20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>
      <c r="A329" s="3"/>
      <c r="B329" s="3"/>
      <c r="C329" s="3"/>
      <c r="D329" s="3"/>
      <c r="E329" s="3"/>
      <c r="F329" s="20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>
      <c r="A330" s="3"/>
      <c r="B330" s="3"/>
      <c r="C330" s="3"/>
      <c r="D330" s="3"/>
      <c r="E330" s="3"/>
      <c r="F330" s="20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>
      <c r="A331" s="3"/>
      <c r="B331" s="3"/>
      <c r="C331" s="3"/>
      <c r="D331" s="3"/>
      <c r="E331" s="3"/>
      <c r="F331" s="20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>
      <c r="A332" s="3"/>
      <c r="B332" s="3"/>
      <c r="C332" s="3"/>
      <c r="D332" s="3"/>
      <c r="E332" s="3"/>
      <c r="F332" s="20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>
      <c r="A333" s="3"/>
      <c r="B333" s="3"/>
      <c r="C333" s="3"/>
      <c r="D333" s="3"/>
      <c r="E333" s="3"/>
      <c r="F333" s="20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>
      <c r="A334" s="3"/>
      <c r="B334" s="3"/>
      <c r="C334" s="3"/>
      <c r="D334" s="3"/>
      <c r="E334" s="3"/>
      <c r="F334" s="20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>
      <c r="A335" s="3"/>
      <c r="B335" s="3"/>
      <c r="C335" s="3"/>
      <c r="D335" s="3"/>
      <c r="E335" s="3"/>
      <c r="F335" s="20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>
      <c r="A336" s="3"/>
      <c r="B336" s="3"/>
      <c r="C336" s="3"/>
      <c r="D336" s="3"/>
      <c r="E336" s="3"/>
      <c r="F336" s="20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>
      <c r="A337" s="3"/>
      <c r="B337" s="3"/>
      <c r="C337" s="3"/>
      <c r="D337" s="3"/>
      <c r="E337" s="3"/>
      <c r="F337" s="20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>
      <c r="A338" s="3"/>
      <c r="B338" s="3"/>
      <c r="C338" s="3"/>
      <c r="D338" s="3"/>
      <c r="E338" s="3"/>
      <c r="F338" s="20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>
      <c r="A339" s="3"/>
      <c r="B339" s="3"/>
      <c r="C339" s="3"/>
      <c r="D339" s="3"/>
      <c r="E339" s="3"/>
      <c r="F339" s="20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>
      <c r="A340" s="3"/>
      <c r="B340" s="3"/>
      <c r="C340" s="3"/>
      <c r="D340" s="3"/>
      <c r="E340" s="3"/>
      <c r="F340" s="20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>
      <c r="A341" s="3"/>
      <c r="B341" s="3"/>
      <c r="C341" s="3"/>
      <c r="D341" s="3"/>
      <c r="E341" s="3"/>
      <c r="F341" s="20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>
      <c r="A342" s="3"/>
      <c r="B342" s="3"/>
      <c r="C342" s="3"/>
      <c r="D342" s="3"/>
      <c r="E342" s="3"/>
      <c r="F342" s="20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>
      <c r="A343" s="3"/>
      <c r="B343" s="3"/>
      <c r="C343" s="3"/>
      <c r="D343" s="3"/>
      <c r="E343" s="3"/>
      <c r="F343" s="20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>
      <c r="A344" s="3"/>
      <c r="B344" s="3"/>
      <c r="C344" s="3"/>
      <c r="D344" s="3"/>
      <c r="E344" s="3"/>
      <c r="F344" s="20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>
      <c r="A345" s="3"/>
      <c r="B345" s="3"/>
      <c r="C345" s="3"/>
      <c r="D345" s="3"/>
      <c r="E345" s="3"/>
      <c r="F345" s="20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>
      <c r="A346" s="3"/>
      <c r="B346" s="3"/>
      <c r="C346" s="3"/>
      <c r="D346" s="3"/>
      <c r="E346" s="3"/>
      <c r="F346" s="20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>
      <c r="A347" s="3"/>
      <c r="B347" s="3"/>
      <c r="C347" s="3"/>
      <c r="D347" s="3"/>
      <c r="E347" s="3"/>
      <c r="F347" s="20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>
      <c r="A348" s="3"/>
      <c r="B348" s="3"/>
      <c r="C348" s="3"/>
      <c r="D348" s="3"/>
      <c r="E348" s="3"/>
      <c r="F348" s="20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>
      <c r="A349" s="3"/>
      <c r="B349" s="3"/>
      <c r="C349" s="3"/>
      <c r="D349" s="3"/>
      <c r="E349" s="3"/>
      <c r="F349" s="20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>
      <c r="A350" s="3"/>
      <c r="B350" s="3"/>
      <c r="C350" s="3"/>
      <c r="D350" s="3"/>
      <c r="E350" s="3"/>
      <c r="F350" s="20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>
      <c r="A351" s="3"/>
      <c r="B351" s="3"/>
      <c r="C351" s="3"/>
      <c r="D351" s="3"/>
      <c r="E351" s="3"/>
      <c r="F351" s="20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>
      <c r="A352" s="3"/>
      <c r="B352" s="3"/>
      <c r="C352" s="3"/>
      <c r="D352" s="3"/>
      <c r="E352" s="3"/>
      <c r="F352" s="20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>
      <c r="A353" s="3"/>
      <c r="B353" s="3"/>
      <c r="C353" s="3"/>
      <c r="D353" s="3"/>
      <c r="E353" s="3"/>
      <c r="F353" s="20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>
      <c r="A354" s="3"/>
      <c r="B354" s="3"/>
      <c r="C354" s="3"/>
      <c r="D354" s="3"/>
      <c r="E354" s="3"/>
      <c r="F354" s="20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>
      <c r="A355" s="3"/>
      <c r="B355" s="3"/>
      <c r="C355" s="3"/>
      <c r="D355" s="3"/>
      <c r="E355" s="3"/>
      <c r="F355" s="20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>
      <c r="A356" s="3"/>
      <c r="B356" s="3"/>
      <c r="C356" s="3"/>
      <c r="D356" s="3"/>
      <c r="E356" s="3"/>
      <c r="F356" s="20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>
      <c r="A357" s="3"/>
      <c r="B357" s="3"/>
      <c r="C357" s="3"/>
      <c r="D357" s="3"/>
      <c r="E357" s="3"/>
      <c r="F357" s="20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>
      <c r="A358" s="3"/>
      <c r="B358" s="3"/>
      <c r="C358" s="3"/>
      <c r="D358" s="3"/>
      <c r="E358" s="3"/>
      <c r="F358" s="20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>
      <c r="A359" s="3"/>
      <c r="B359" s="3"/>
      <c r="C359" s="3"/>
      <c r="D359" s="3"/>
      <c r="E359" s="3"/>
      <c r="F359" s="20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>
      <c r="A360" s="3"/>
      <c r="B360" s="3"/>
      <c r="C360" s="3"/>
      <c r="D360" s="3"/>
      <c r="E360" s="3"/>
      <c r="F360" s="20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>
      <c r="A361" s="3"/>
      <c r="B361" s="3"/>
      <c r="C361" s="3"/>
      <c r="D361" s="3"/>
      <c r="E361" s="3"/>
      <c r="F361" s="20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>
      <c r="A362" s="3"/>
      <c r="B362" s="3"/>
      <c r="C362" s="3"/>
      <c r="D362" s="3"/>
      <c r="E362" s="3"/>
      <c r="F362" s="20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>
      <c r="A363" s="3"/>
      <c r="B363" s="3"/>
      <c r="C363" s="3"/>
      <c r="D363" s="3"/>
      <c r="E363" s="3"/>
      <c r="F363" s="20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>
      <c r="A364" s="3"/>
      <c r="B364" s="3"/>
      <c r="C364" s="3"/>
      <c r="D364" s="3"/>
      <c r="E364" s="3"/>
      <c r="F364" s="20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>
      <c r="A365" s="3"/>
      <c r="B365" s="3"/>
      <c r="C365" s="3"/>
      <c r="D365" s="3"/>
      <c r="E365" s="3"/>
      <c r="F365" s="20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>
      <c r="A366" s="3"/>
      <c r="B366" s="3"/>
      <c r="C366" s="3"/>
      <c r="D366" s="3"/>
      <c r="E366" s="3"/>
      <c r="F366" s="20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>
      <c r="A367" s="3"/>
      <c r="B367" s="3"/>
      <c r="C367" s="3"/>
      <c r="D367" s="3"/>
      <c r="E367" s="3"/>
      <c r="F367" s="20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>
      <c r="A368" s="3"/>
      <c r="B368" s="3"/>
      <c r="C368" s="3"/>
      <c r="D368" s="3"/>
      <c r="E368" s="3"/>
      <c r="F368" s="20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>
      <c r="A369" s="3"/>
      <c r="B369" s="3"/>
      <c r="C369" s="3"/>
      <c r="D369" s="3"/>
      <c r="E369" s="3"/>
      <c r="F369" s="20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>
      <c r="A370" s="3"/>
      <c r="B370" s="3"/>
      <c r="C370" s="3"/>
      <c r="D370" s="3"/>
      <c r="E370" s="3"/>
      <c r="F370" s="20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>
      <c r="A371" s="3"/>
      <c r="B371" s="3"/>
      <c r="C371" s="3"/>
      <c r="D371" s="3"/>
      <c r="E371" s="3"/>
      <c r="F371" s="20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>
      <c r="A372" s="3"/>
      <c r="B372" s="3"/>
      <c r="C372" s="3"/>
      <c r="D372" s="3"/>
      <c r="E372" s="3"/>
      <c r="F372" s="20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>
      <c r="A373" s="3"/>
      <c r="B373" s="3"/>
      <c r="C373" s="3"/>
      <c r="D373" s="3"/>
      <c r="E373" s="3"/>
      <c r="F373" s="20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>
      <c r="A374" s="3"/>
      <c r="B374" s="3"/>
      <c r="C374" s="3"/>
      <c r="D374" s="3"/>
      <c r="E374" s="3"/>
      <c r="F374" s="20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>
      <c r="A375" s="3"/>
      <c r="B375" s="3"/>
      <c r="C375" s="3"/>
      <c r="D375" s="3"/>
      <c r="E375" s="3"/>
      <c r="F375" s="20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>
      <c r="A376" s="3"/>
      <c r="B376" s="3"/>
      <c r="C376" s="3"/>
      <c r="D376" s="3"/>
      <c r="E376" s="3"/>
      <c r="F376" s="20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>
      <c r="A377" s="3"/>
      <c r="B377" s="3"/>
      <c r="C377" s="3"/>
      <c r="D377" s="3"/>
      <c r="E377" s="3"/>
      <c r="F377" s="20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>
      <c r="A378" s="3"/>
      <c r="B378" s="3"/>
      <c r="C378" s="3"/>
      <c r="D378" s="3"/>
      <c r="E378" s="3"/>
      <c r="F378" s="20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>
      <c r="A379" s="3"/>
      <c r="B379" s="3"/>
      <c r="C379" s="3"/>
      <c r="D379" s="3"/>
      <c r="E379" s="3"/>
      <c r="F379" s="20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>
      <c r="A380" s="3"/>
      <c r="B380" s="3"/>
      <c r="C380" s="3"/>
      <c r="D380" s="3"/>
      <c r="E380" s="3"/>
      <c r="F380" s="20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>
      <c r="A381" s="3"/>
      <c r="B381" s="3"/>
      <c r="C381" s="3"/>
      <c r="D381" s="3"/>
      <c r="E381" s="3"/>
      <c r="F381" s="20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>
      <c r="A382" s="3"/>
      <c r="B382" s="3"/>
      <c r="C382" s="3"/>
      <c r="D382" s="3"/>
      <c r="E382" s="3"/>
      <c r="F382" s="20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>
      <c r="A383" s="3"/>
      <c r="B383" s="3"/>
      <c r="C383" s="3"/>
      <c r="D383" s="3"/>
      <c r="E383" s="3"/>
      <c r="F383" s="20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>
      <c r="A384" s="3"/>
      <c r="B384" s="3"/>
      <c r="C384" s="3"/>
      <c r="D384" s="3"/>
      <c r="E384" s="3"/>
      <c r="F384" s="20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>
      <c r="A385" s="3"/>
      <c r="B385" s="3"/>
      <c r="C385" s="3"/>
      <c r="D385" s="3"/>
      <c r="E385" s="3"/>
      <c r="F385" s="20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>
      <c r="A386" s="3"/>
      <c r="B386" s="3"/>
      <c r="C386" s="3"/>
      <c r="D386" s="3"/>
      <c r="E386" s="3"/>
      <c r="F386" s="20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>
      <c r="A387" s="3"/>
      <c r="B387" s="3"/>
      <c r="C387" s="3"/>
      <c r="D387" s="3"/>
      <c r="E387" s="3"/>
      <c r="F387" s="20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>
      <c r="A388" s="3"/>
      <c r="B388" s="3"/>
      <c r="C388" s="3"/>
      <c r="D388" s="3"/>
      <c r="E388" s="3"/>
      <c r="F388" s="20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>
      <c r="A389" s="3"/>
      <c r="B389" s="3"/>
      <c r="C389" s="3"/>
      <c r="D389" s="3"/>
      <c r="E389" s="3"/>
      <c r="F389" s="20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>
      <c r="A390" s="3"/>
      <c r="B390" s="3"/>
      <c r="C390" s="3"/>
      <c r="D390" s="3"/>
      <c r="E390" s="3"/>
      <c r="F390" s="20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>
      <c r="A391" s="3"/>
      <c r="B391" s="3"/>
      <c r="C391" s="3"/>
      <c r="D391" s="3"/>
      <c r="E391" s="3"/>
      <c r="F391" s="20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>
      <c r="A392" s="3"/>
      <c r="B392" s="3"/>
      <c r="C392" s="3"/>
      <c r="D392" s="3"/>
      <c r="E392" s="3"/>
      <c r="F392" s="20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>
      <c r="A393" s="3"/>
      <c r="B393" s="3"/>
      <c r="C393" s="3"/>
      <c r="D393" s="3"/>
      <c r="E393" s="3"/>
      <c r="F393" s="20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>
      <c r="A394" s="3"/>
      <c r="B394" s="3"/>
      <c r="C394" s="3"/>
      <c r="D394" s="3"/>
      <c r="E394" s="3"/>
      <c r="F394" s="20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>
      <c r="A395" s="3"/>
      <c r="B395" s="3"/>
      <c r="C395" s="3"/>
      <c r="D395" s="3"/>
      <c r="E395" s="3"/>
      <c r="F395" s="20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>
      <c r="A396" s="3"/>
      <c r="B396" s="3"/>
      <c r="C396" s="3"/>
      <c r="D396" s="3"/>
      <c r="E396" s="3"/>
      <c r="F396" s="20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>
      <c r="A397" s="3"/>
      <c r="B397" s="3"/>
      <c r="C397" s="3"/>
      <c r="D397" s="3"/>
      <c r="E397" s="3"/>
      <c r="F397" s="20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>
      <c r="A398" s="3"/>
      <c r="B398" s="3"/>
      <c r="C398" s="3"/>
      <c r="D398" s="3"/>
      <c r="E398" s="3"/>
      <c r="F398" s="20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>
      <c r="A399" s="3"/>
      <c r="B399" s="3"/>
      <c r="C399" s="3"/>
      <c r="D399" s="3"/>
      <c r="E399" s="3"/>
      <c r="F399" s="20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>
      <c r="A400" s="3"/>
      <c r="B400" s="3"/>
      <c r="C400" s="3"/>
      <c r="D400" s="3"/>
      <c r="E400" s="3"/>
      <c r="F400" s="20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>
      <c r="A401" s="3"/>
      <c r="B401" s="3"/>
      <c r="C401" s="3"/>
      <c r="D401" s="3"/>
      <c r="E401" s="3"/>
      <c r="F401" s="20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>
      <c r="A402" s="3"/>
      <c r="B402" s="3"/>
      <c r="C402" s="3"/>
      <c r="D402" s="3"/>
      <c r="E402" s="3"/>
      <c r="F402" s="20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>
      <c r="A403" s="3"/>
      <c r="B403" s="3"/>
      <c r="C403" s="3"/>
      <c r="D403" s="3"/>
      <c r="E403" s="3"/>
      <c r="F403" s="20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>
      <c r="A404" s="3"/>
      <c r="B404" s="3"/>
      <c r="C404" s="3"/>
      <c r="D404" s="3"/>
      <c r="E404" s="3"/>
      <c r="F404" s="20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>
      <c r="A405" s="3"/>
      <c r="B405" s="3"/>
      <c r="C405" s="3"/>
      <c r="D405" s="3"/>
      <c r="E405" s="3"/>
      <c r="F405" s="20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>
      <c r="A406" s="3"/>
      <c r="B406" s="3"/>
      <c r="C406" s="3"/>
      <c r="D406" s="3"/>
      <c r="E406" s="3"/>
      <c r="F406" s="20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>
      <c r="A407" s="3"/>
      <c r="B407" s="3"/>
      <c r="C407" s="3"/>
      <c r="D407" s="3"/>
      <c r="E407" s="3"/>
      <c r="F407" s="20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>
      <c r="A408" s="3"/>
      <c r="B408" s="3"/>
      <c r="C408" s="3"/>
      <c r="D408" s="3"/>
      <c r="E408" s="3"/>
      <c r="F408" s="20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>
      <c r="A409" s="3"/>
      <c r="B409" s="3"/>
      <c r="C409" s="3"/>
      <c r="D409" s="3"/>
      <c r="E409" s="3"/>
      <c r="F409" s="20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>
      <c r="A410" s="3"/>
      <c r="B410" s="3"/>
      <c r="C410" s="3"/>
      <c r="D410" s="3"/>
      <c r="E410" s="3"/>
      <c r="F410" s="20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>
      <c r="A411" s="3"/>
      <c r="B411" s="3"/>
      <c r="C411" s="3"/>
      <c r="D411" s="3"/>
      <c r="E411" s="3"/>
      <c r="F411" s="20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>
      <c r="A412" s="3"/>
      <c r="B412" s="3"/>
      <c r="C412" s="3"/>
      <c r="D412" s="3"/>
      <c r="E412" s="3"/>
      <c r="F412" s="20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>
      <c r="A413" s="3"/>
      <c r="B413" s="3"/>
      <c r="C413" s="3"/>
      <c r="D413" s="3"/>
      <c r="E413" s="3"/>
      <c r="F413" s="20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>
      <c r="A414" s="3"/>
      <c r="B414" s="3"/>
      <c r="C414" s="3"/>
      <c r="D414" s="3"/>
      <c r="E414" s="3"/>
      <c r="F414" s="20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>
      <c r="A415" s="3"/>
      <c r="B415" s="3"/>
      <c r="C415" s="3"/>
      <c r="D415" s="3"/>
      <c r="E415" s="3"/>
      <c r="F415" s="20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>
      <c r="A416" s="3"/>
      <c r="B416" s="3"/>
      <c r="C416" s="3"/>
      <c r="D416" s="3"/>
      <c r="E416" s="3"/>
      <c r="F416" s="20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>
      <c r="A417" s="3"/>
      <c r="B417" s="3"/>
      <c r="C417" s="3"/>
      <c r="D417" s="3"/>
      <c r="E417" s="3"/>
      <c r="F417" s="20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>
      <c r="A418" s="3"/>
      <c r="B418" s="3"/>
      <c r="C418" s="3"/>
      <c r="D418" s="3"/>
      <c r="E418" s="3"/>
      <c r="F418" s="20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>
      <c r="A419" s="3"/>
      <c r="B419" s="3"/>
      <c r="C419" s="3"/>
      <c r="D419" s="3"/>
      <c r="E419" s="3"/>
      <c r="F419" s="20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>
      <c r="A420" s="3"/>
      <c r="B420" s="3"/>
      <c r="C420" s="3"/>
      <c r="D420" s="3"/>
      <c r="E420" s="3"/>
      <c r="F420" s="20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>
      <c r="A421" s="3"/>
      <c r="B421" s="3"/>
      <c r="C421" s="3"/>
      <c r="D421" s="3"/>
      <c r="E421" s="3"/>
      <c r="F421" s="20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>
      <c r="A422" s="3"/>
      <c r="B422" s="3"/>
      <c r="C422" s="3"/>
      <c r="D422" s="3"/>
      <c r="E422" s="3"/>
      <c r="F422" s="20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>
      <c r="A423" s="3"/>
      <c r="B423" s="3"/>
      <c r="C423" s="3"/>
      <c r="D423" s="3"/>
      <c r="E423" s="3"/>
      <c r="F423" s="20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>
      <c r="A424" s="3"/>
      <c r="B424" s="3"/>
      <c r="C424" s="3"/>
      <c r="D424" s="3"/>
      <c r="E424" s="3"/>
      <c r="F424" s="20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>
      <c r="A425" s="3"/>
      <c r="B425" s="3"/>
      <c r="C425" s="3"/>
      <c r="D425" s="3"/>
      <c r="E425" s="3"/>
      <c r="F425" s="20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>
      <c r="A426" s="3"/>
      <c r="B426" s="3"/>
      <c r="C426" s="3"/>
      <c r="D426" s="3"/>
      <c r="E426" s="3"/>
      <c r="F426" s="20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>
      <c r="A427" s="3"/>
      <c r="B427" s="3"/>
      <c r="C427" s="3"/>
      <c r="D427" s="3"/>
      <c r="E427" s="3"/>
      <c r="F427" s="20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>
      <c r="A428" s="3"/>
      <c r="B428" s="3"/>
      <c r="C428" s="3"/>
      <c r="D428" s="3"/>
      <c r="E428" s="3"/>
      <c r="F428" s="20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>
      <c r="A429" s="3"/>
      <c r="B429" s="3"/>
      <c r="C429" s="3"/>
      <c r="D429" s="3"/>
      <c r="E429" s="3"/>
      <c r="F429" s="20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>
      <c r="A430" s="3"/>
      <c r="B430" s="3"/>
      <c r="C430" s="3"/>
      <c r="D430" s="3"/>
      <c r="E430" s="3"/>
      <c r="F430" s="20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>
      <c r="A431" s="3"/>
      <c r="B431" s="3"/>
      <c r="C431" s="3"/>
      <c r="D431" s="3"/>
      <c r="E431" s="3"/>
      <c r="F431" s="20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>
      <c r="A432" s="3"/>
      <c r="B432" s="3"/>
      <c r="C432" s="3"/>
      <c r="D432" s="3"/>
      <c r="E432" s="3"/>
      <c r="F432" s="20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>
      <c r="A433" s="3"/>
      <c r="B433" s="3"/>
      <c r="C433" s="3"/>
      <c r="D433" s="3"/>
      <c r="E433" s="3"/>
      <c r="F433" s="20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>
      <c r="A434" s="3"/>
      <c r="B434" s="3"/>
      <c r="C434" s="3"/>
      <c r="D434" s="3"/>
      <c r="E434" s="3"/>
      <c r="F434" s="20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>
      <c r="A435" s="3"/>
      <c r="B435" s="3"/>
      <c r="C435" s="3"/>
      <c r="D435" s="3"/>
      <c r="E435" s="3"/>
      <c r="F435" s="20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>
      <c r="A436" s="3"/>
      <c r="B436" s="3"/>
      <c r="C436" s="3"/>
      <c r="D436" s="3"/>
      <c r="E436" s="3"/>
      <c r="F436" s="20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>
      <c r="A437" s="3"/>
      <c r="B437" s="3"/>
      <c r="C437" s="3"/>
      <c r="D437" s="3"/>
      <c r="E437" s="3"/>
      <c r="F437" s="20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>
      <c r="A438" s="3"/>
      <c r="B438" s="3"/>
      <c r="C438" s="3"/>
      <c r="D438" s="3"/>
      <c r="E438" s="3"/>
      <c r="F438" s="20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>
      <c r="A439" s="3"/>
      <c r="B439" s="3"/>
      <c r="C439" s="3"/>
      <c r="D439" s="3"/>
      <c r="E439" s="3"/>
      <c r="F439" s="20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>
      <c r="A440" s="3"/>
      <c r="B440" s="3"/>
      <c r="C440" s="3"/>
      <c r="D440" s="3"/>
      <c r="E440" s="3"/>
      <c r="F440" s="20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>
      <c r="A441" s="3"/>
      <c r="B441" s="3"/>
      <c r="C441" s="3"/>
      <c r="D441" s="3"/>
      <c r="E441" s="3"/>
      <c r="F441" s="20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>
      <c r="A442" s="3"/>
      <c r="B442" s="3"/>
      <c r="C442" s="3"/>
      <c r="D442" s="3"/>
      <c r="E442" s="3"/>
      <c r="F442" s="20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>
      <c r="A443" s="3"/>
      <c r="B443" s="3"/>
      <c r="C443" s="3"/>
      <c r="D443" s="3"/>
      <c r="E443" s="3"/>
      <c r="F443" s="20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>
      <c r="A444" s="3"/>
      <c r="B444" s="3"/>
      <c r="C444" s="3"/>
      <c r="D444" s="3"/>
      <c r="E444" s="3"/>
      <c r="F444" s="20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>
      <c r="A445" s="3"/>
      <c r="B445" s="3"/>
      <c r="C445" s="3"/>
      <c r="D445" s="3"/>
      <c r="E445" s="3"/>
      <c r="F445" s="20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>
      <c r="A446" s="3"/>
      <c r="B446" s="3"/>
      <c r="C446" s="3"/>
      <c r="D446" s="3"/>
      <c r="E446" s="3"/>
      <c r="F446" s="20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>
      <c r="A447" s="3"/>
      <c r="B447" s="3"/>
      <c r="C447" s="3"/>
      <c r="D447" s="3"/>
      <c r="E447" s="3"/>
      <c r="F447" s="20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>
      <c r="A448" s="3"/>
      <c r="B448" s="3"/>
      <c r="C448" s="3"/>
      <c r="D448" s="3"/>
      <c r="E448" s="3"/>
      <c r="F448" s="20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>
      <c r="A449" s="3"/>
      <c r="B449" s="3"/>
      <c r="C449" s="3"/>
      <c r="D449" s="3"/>
      <c r="E449" s="3"/>
      <c r="F449" s="20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>
      <c r="A450" s="3"/>
      <c r="B450" s="3"/>
      <c r="C450" s="3"/>
      <c r="D450" s="3"/>
      <c r="E450" s="3"/>
      <c r="F450" s="20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>
      <c r="A451" s="3"/>
      <c r="B451" s="3"/>
      <c r="C451" s="3"/>
      <c r="D451" s="3"/>
      <c r="E451" s="3"/>
      <c r="F451" s="20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>
      <c r="A452" s="3"/>
      <c r="B452" s="3"/>
      <c r="C452" s="3"/>
      <c r="D452" s="3"/>
      <c r="E452" s="3"/>
      <c r="F452" s="20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>
      <c r="A453" s="3"/>
      <c r="B453" s="3"/>
      <c r="C453" s="3"/>
      <c r="D453" s="3"/>
      <c r="E453" s="3"/>
      <c r="F453" s="20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>
      <c r="A454" s="3"/>
      <c r="B454" s="3"/>
      <c r="C454" s="3"/>
      <c r="D454" s="3"/>
      <c r="E454" s="3"/>
      <c r="F454" s="20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>
      <c r="A455" s="3"/>
      <c r="B455" s="3"/>
      <c r="C455" s="3"/>
      <c r="D455" s="3"/>
      <c r="E455" s="3"/>
      <c r="F455" s="20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>
      <c r="A456" s="3"/>
      <c r="B456" s="3"/>
      <c r="C456" s="3"/>
      <c r="D456" s="3"/>
      <c r="E456" s="3"/>
      <c r="F456" s="20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>
      <c r="A457" s="3"/>
      <c r="B457" s="3"/>
      <c r="C457" s="3"/>
      <c r="D457" s="3"/>
      <c r="E457" s="3"/>
      <c r="F457" s="20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>
      <c r="A458" s="3"/>
      <c r="B458" s="3"/>
      <c r="C458" s="3"/>
      <c r="D458" s="3"/>
      <c r="E458" s="3"/>
      <c r="F458" s="20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>
      <c r="A459" s="3"/>
      <c r="B459" s="3"/>
      <c r="C459" s="3"/>
      <c r="D459" s="3"/>
      <c r="E459" s="3"/>
      <c r="F459" s="20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>
      <c r="A460" s="3"/>
      <c r="B460" s="3"/>
      <c r="C460" s="3"/>
      <c r="D460" s="3"/>
      <c r="E460" s="3"/>
      <c r="F460" s="20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>
      <c r="A461" s="3"/>
      <c r="B461" s="3"/>
      <c r="C461" s="3"/>
      <c r="D461" s="3"/>
      <c r="E461" s="3"/>
      <c r="F461" s="20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>
      <c r="A462" s="3"/>
      <c r="B462" s="3"/>
      <c r="C462" s="3"/>
      <c r="D462" s="3"/>
      <c r="E462" s="3"/>
      <c r="F462" s="20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>
      <c r="A463" s="3"/>
      <c r="B463" s="3"/>
      <c r="C463" s="3"/>
      <c r="D463" s="3"/>
      <c r="E463" s="3"/>
      <c r="F463" s="20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>
      <c r="A464" s="3"/>
      <c r="B464" s="3"/>
      <c r="C464" s="3"/>
      <c r="D464" s="3"/>
      <c r="E464" s="3"/>
      <c r="F464" s="20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>
      <c r="A465" s="3"/>
      <c r="B465" s="3"/>
      <c r="C465" s="3"/>
      <c r="D465" s="3"/>
      <c r="E465" s="3"/>
      <c r="F465" s="20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>
      <c r="A466" s="3"/>
      <c r="B466" s="3"/>
      <c r="C466" s="3"/>
      <c r="D466" s="3"/>
      <c r="E466" s="3"/>
      <c r="F466" s="20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>
      <c r="A467" s="3"/>
      <c r="B467" s="3"/>
      <c r="C467" s="3"/>
      <c r="D467" s="3"/>
      <c r="E467" s="3"/>
      <c r="F467" s="20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>
      <c r="A468" s="3"/>
      <c r="B468" s="3"/>
      <c r="C468" s="3"/>
      <c r="D468" s="3"/>
      <c r="E468" s="3"/>
      <c r="F468" s="20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>
      <c r="A469" s="3"/>
      <c r="B469" s="3"/>
      <c r="C469" s="3"/>
      <c r="D469" s="3"/>
      <c r="E469" s="3"/>
      <c r="F469" s="20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>
      <c r="A470" s="3"/>
      <c r="B470" s="3"/>
      <c r="C470" s="3"/>
      <c r="D470" s="3"/>
      <c r="E470" s="3"/>
      <c r="F470" s="20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>
      <c r="A471" s="3"/>
      <c r="B471" s="3"/>
      <c r="C471" s="3"/>
      <c r="D471" s="3"/>
      <c r="E471" s="3"/>
      <c r="F471" s="20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>
      <c r="A472" s="3"/>
      <c r="B472" s="3"/>
      <c r="C472" s="3"/>
      <c r="D472" s="3"/>
      <c r="E472" s="3"/>
      <c r="F472" s="20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>
      <c r="A473" s="3"/>
      <c r="B473" s="3"/>
      <c r="C473" s="3"/>
      <c r="D473" s="3"/>
      <c r="E473" s="3"/>
      <c r="F473" s="20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>
      <c r="A474" s="3"/>
      <c r="B474" s="3"/>
      <c r="C474" s="3"/>
      <c r="D474" s="3"/>
      <c r="E474" s="3"/>
      <c r="F474" s="20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>
      <c r="A475" s="3"/>
      <c r="B475" s="3"/>
      <c r="C475" s="3"/>
      <c r="D475" s="3"/>
      <c r="E475" s="3"/>
      <c r="F475" s="20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>
      <c r="A476" s="3"/>
      <c r="B476" s="3"/>
      <c r="C476" s="3"/>
      <c r="D476" s="3"/>
      <c r="E476" s="3"/>
      <c r="F476" s="20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>
      <c r="A477" s="3"/>
      <c r="B477" s="3"/>
      <c r="C477" s="3"/>
      <c r="D477" s="3"/>
      <c r="E477" s="3"/>
      <c r="F477" s="20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>
      <c r="A478" s="3"/>
      <c r="B478" s="3"/>
      <c r="C478" s="3"/>
      <c r="D478" s="3"/>
      <c r="E478" s="3"/>
      <c r="F478" s="20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>
      <c r="A479" s="3"/>
      <c r="B479" s="3"/>
      <c r="C479" s="3"/>
      <c r="D479" s="3"/>
      <c r="E479" s="3"/>
      <c r="F479" s="20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>
      <c r="A480" s="3"/>
      <c r="B480" s="3"/>
      <c r="C480" s="3"/>
      <c r="D480" s="3"/>
      <c r="E480" s="3"/>
      <c r="F480" s="20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>
      <c r="A481" s="3"/>
      <c r="B481" s="3"/>
      <c r="C481" s="3"/>
      <c r="D481" s="3"/>
      <c r="E481" s="3"/>
      <c r="F481" s="20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>
      <c r="A482" s="3"/>
      <c r="B482" s="3"/>
      <c r="C482" s="3"/>
      <c r="D482" s="3"/>
      <c r="E482" s="3"/>
      <c r="F482" s="20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>
      <c r="A483" s="3"/>
      <c r="B483" s="3"/>
      <c r="C483" s="3"/>
      <c r="D483" s="3"/>
      <c r="E483" s="3"/>
      <c r="F483" s="20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>
      <c r="A484" s="3"/>
      <c r="B484" s="3"/>
      <c r="C484" s="3"/>
      <c r="D484" s="3"/>
      <c r="E484" s="3"/>
      <c r="F484" s="20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>
      <c r="A485" s="3"/>
      <c r="B485" s="3"/>
      <c r="C485" s="3"/>
      <c r="D485" s="3"/>
      <c r="E485" s="3"/>
      <c r="F485" s="20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>
      <c r="A486" s="3"/>
      <c r="B486" s="3"/>
      <c r="C486" s="3"/>
      <c r="D486" s="3"/>
      <c r="E486" s="3"/>
      <c r="F486" s="20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>
      <c r="A487" s="3"/>
      <c r="B487" s="3"/>
      <c r="C487" s="3"/>
      <c r="D487" s="3"/>
      <c r="E487" s="3"/>
      <c r="F487" s="20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>
      <c r="A488" s="3"/>
      <c r="B488" s="3"/>
      <c r="C488" s="3"/>
      <c r="D488" s="3"/>
      <c r="E488" s="3"/>
      <c r="F488" s="20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>
      <c r="A489" s="3"/>
      <c r="B489" s="3"/>
      <c r="C489" s="3"/>
      <c r="D489" s="3"/>
      <c r="E489" s="3"/>
      <c r="F489" s="20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>
      <c r="A490" s="3"/>
      <c r="B490" s="3"/>
      <c r="C490" s="3"/>
      <c r="D490" s="3"/>
      <c r="E490" s="3"/>
      <c r="F490" s="20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>
      <c r="A491" s="3"/>
      <c r="B491" s="3"/>
      <c r="C491" s="3"/>
      <c r="D491" s="3"/>
      <c r="E491" s="3"/>
      <c r="F491" s="20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>
      <c r="A492" s="3"/>
      <c r="B492" s="3"/>
      <c r="C492" s="3"/>
      <c r="D492" s="3"/>
      <c r="E492" s="3"/>
      <c r="F492" s="20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>
      <c r="A493" s="3"/>
      <c r="B493" s="3"/>
      <c r="C493" s="3"/>
      <c r="D493" s="3"/>
      <c r="E493" s="3"/>
      <c r="F493" s="20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>
      <c r="A494" s="3"/>
      <c r="B494" s="3"/>
      <c r="C494" s="3"/>
      <c r="D494" s="3"/>
      <c r="E494" s="3"/>
      <c r="F494" s="20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>
      <c r="A495" s="3"/>
      <c r="B495" s="3"/>
      <c r="C495" s="3"/>
      <c r="D495" s="3"/>
      <c r="E495" s="3"/>
      <c r="F495" s="20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>
      <c r="A496" s="3"/>
      <c r="B496" s="3"/>
      <c r="C496" s="3"/>
      <c r="D496" s="3"/>
      <c r="E496" s="3"/>
      <c r="F496" s="20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>
      <c r="A497" s="3"/>
      <c r="B497" s="3"/>
      <c r="C497" s="3"/>
      <c r="D497" s="3"/>
      <c r="E497" s="3"/>
      <c r="F497" s="20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>
      <c r="A498" s="3"/>
      <c r="B498" s="3"/>
      <c r="C498" s="3"/>
      <c r="D498" s="3"/>
      <c r="E498" s="3"/>
      <c r="F498" s="20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>
      <c r="A499" s="3"/>
      <c r="B499" s="3"/>
      <c r="C499" s="3"/>
      <c r="D499" s="3"/>
      <c r="E499" s="3"/>
      <c r="F499" s="20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>
      <c r="A500" s="3"/>
      <c r="B500" s="3"/>
      <c r="C500" s="3"/>
      <c r="D500" s="3"/>
      <c r="E500" s="3"/>
      <c r="F500" s="20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>
      <c r="A501" s="3"/>
      <c r="B501" s="3"/>
      <c r="C501" s="3"/>
      <c r="D501" s="3"/>
      <c r="E501" s="3"/>
      <c r="F501" s="20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>
      <c r="A502" s="3"/>
      <c r="B502" s="3"/>
      <c r="C502" s="3"/>
      <c r="D502" s="3"/>
      <c r="E502" s="3"/>
      <c r="F502" s="20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>
      <c r="A503" s="3"/>
      <c r="B503" s="3"/>
      <c r="C503" s="3"/>
      <c r="D503" s="3"/>
      <c r="E503" s="3"/>
      <c r="F503" s="20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>
      <c r="A504" s="3"/>
      <c r="B504" s="3"/>
      <c r="C504" s="3"/>
      <c r="D504" s="3"/>
      <c r="E504" s="3"/>
      <c r="F504" s="20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>
      <c r="A505" s="3"/>
      <c r="B505" s="3"/>
      <c r="C505" s="3"/>
      <c r="D505" s="3"/>
      <c r="E505" s="3"/>
      <c r="F505" s="20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>
      <c r="A506" s="3"/>
      <c r="B506" s="3"/>
      <c r="C506" s="3"/>
      <c r="D506" s="3"/>
      <c r="E506" s="3"/>
      <c r="F506" s="20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>
      <c r="A507" s="3"/>
      <c r="B507" s="3"/>
      <c r="C507" s="3"/>
      <c r="D507" s="3"/>
      <c r="E507" s="3"/>
      <c r="F507" s="20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>
      <c r="A508" s="3"/>
      <c r="B508" s="3"/>
      <c r="C508" s="3"/>
      <c r="D508" s="3"/>
      <c r="E508" s="3"/>
      <c r="F508" s="20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>
      <c r="A509" s="3"/>
      <c r="B509" s="3"/>
      <c r="C509" s="3"/>
      <c r="D509" s="3"/>
      <c r="E509" s="3"/>
      <c r="F509" s="20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>
      <c r="A510" s="3"/>
      <c r="B510" s="3"/>
      <c r="C510" s="3"/>
      <c r="D510" s="3"/>
      <c r="E510" s="3"/>
      <c r="F510" s="20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>
      <c r="A511" s="3"/>
      <c r="B511" s="3"/>
      <c r="C511" s="3"/>
      <c r="D511" s="3"/>
      <c r="E511" s="3"/>
      <c r="F511" s="20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>
      <c r="A512" s="3"/>
      <c r="B512" s="3"/>
      <c r="C512" s="3"/>
      <c r="D512" s="3"/>
      <c r="E512" s="3"/>
      <c r="F512" s="20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>
      <c r="A513" s="3"/>
      <c r="B513" s="3"/>
      <c r="C513" s="3"/>
      <c r="D513" s="3"/>
      <c r="E513" s="3"/>
      <c r="F513" s="20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>
      <c r="A514" s="3"/>
      <c r="B514" s="3"/>
      <c r="C514" s="3"/>
      <c r="D514" s="3"/>
      <c r="E514" s="3"/>
      <c r="F514" s="20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>
      <c r="A515" s="3"/>
      <c r="B515" s="3"/>
      <c r="C515" s="3"/>
      <c r="D515" s="3"/>
      <c r="E515" s="3"/>
      <c r="F515" s="20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>
      <c r="A516" s="3"/>
      <c r="B516" s="3"/>
      <c r="C516" s="3"/>
      <c r="D516" s="3"/>
      <c r="E516" s="3"/>
      <c r="F516" s="20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>
      <c r="A517" s="3"/>
      <c r="B517" s="3"/>
      <c r="C517" s="3"/>
      <c r="D517" s="3"/>
      <c r="E517" s="3"/>
      <c r="F517" s="20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>
      <c r="A518" s="3"/>
      <c r="B518" s="3"/>
      <c r="C518" s="3"/>
      <c r="D518" s="3"/>
      <c r="E518" s="3"/>
      <c r="F518" s="20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>
      <c r="A519" s="3"/>
      <c r="B519" s="3"/>
      <c r="C519" s="3"/>
      <c r="D519" s="3"/>
      <c r="E519" s="3"/>
      <c r="F519" s="20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>
      <c r="A520" s="3"/>
      <c r="B520" s="3"/>
      <c r="C520" s="3"/>
      <c r="D520" s="3"/>
      <c r="E520" s="3"/>
      <c r="F520" s="20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>
      <c r="A521" s="3"/>
      <c r="B521" s="3"/>
      <c r="C521" s="3"/>
      <c r="D521" s="3"/>
      <c r="E521" s="3"/>
      <c r="F521" s="20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>
      <c r="A522" s="3"/>
      <c r="B522" s="3"/>
      <c r="C522" s="3"/>
      <c r="D522" s="3"/>
      <c r="E522" s="3"/>
      <c r="F522" s="20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>
      <c r="A523" s="3"/>
      <c r="B523" s="3"/>
      <c r="C523" s="3"/>
      <c r="D523" s="3"/>
      <c r="E523" s="3"/>
      <c r="F523" s="20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>
      <c r="A524" s="3"/>
      <c r="B524" s="3"/>
      <c r="C524" s="3"/>
      <c r="D524" s="3"/>
      <c r="E524" s="3"/>
      <c r="F524" s="20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>
      <c r="A525" s="3"/>
      <c r="B525" s="3"/>
      <c r="C525" s="3"/>
      <c r="D525" s="3"/>
      <c r="E525" s="3"/>
      <c r="F525" s="20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>
      <c r="A526" s="3"/>
      <c r="B526" s="3"/>
      <c r="C526" s="3"/>
      <c r="D526" s="3"/>
      <c r="E526" s="3"/>
      <c r="F526" s="20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>
      <c r="A527" s="3"/>
      <c r="B527" s="3"/>
      <c r="C527" s="3"/>
      <c r="D527" s="3"/>
      <c r="E527" s="3"/>
      <c r="F527" s="20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>
      <c r="A528" s="3"/>
      <c r="B528" s="3"/>
      <c r="C528" s="3"/>
      <c r="D528" s="3"/>
      <c r="E528" s="3"/>
      <c r="F528" s="20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>
      <c r="A529" s="3"/>
      <c r="B529" s="3"/>
      <c r="C529" s="3"/>
      <c r="D529" s="3"/>
      <c r="E529" s="3"/>
      <c r="F529" s="20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>
      <c r="A530" s="3"/>
      <c r="B530" s="3"/>
      <c r="C530" s="3"/>
      <c r="D530" s="3"/>
      <c r="E530" s="3"/>
      <c r="F530" s="20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>
      <c r="A531" s="3"/>
      <c r="B531" s="3"/>
      <c r="C531" s="3"/>
      <c r="D531" s="3"/>
      <c r="E531" s="3"/>
      <c r="F531" s="20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>
      <c r="A532" s="3"/>
      <c r="B532" s="3"/>
      <c r="C532" s="3"/>
      <c r="D532" s="3"/>
      <c r="E532" s="3"/>
      <c r="F532" s="20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>
      <c r="A533" s="3"/>
      <c r="B533" s="3"/>
      <c r="C533" s="3"/>
      <c r="D533" s="3"/>
      <c r="E533" s="3"/>
      <c r="F533" s="20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>
      <c r="A534" s="3"/>
      <c r="B534" s="3"/>
      <c r="C534" s="3"/>
      <c r="D534" s="3"/>
      <c r="E534" s="3"/>
      <c r="F534" s="20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>
      <c r="A535" s="3"/>
      <c r="B535" s="3"/>
      <c r="C535" s="3"/>
      <c r="D535" s="3"/>
      <c r="E535" s="3"/>
      <c r="F535" s="20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>
      <c r="A536" s="3"/>
      <c r="B536" s="3"/>
      <c r="C536" s="3"/>
      <c r="D536" s="3"/>
      <c r="E536" s="3"/>
      <c r="F536" s="20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>
      <c r="A537" s="3"/>
      <c r="B537" s="3"/>
      <c r="C537" s="3"/>
      <c r="D537" s="3"/>
      <c r="E537" s="3"/>
      <c r="F537" s="20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>
      <c r="A538" s="3"/>
      <c r="B538" s="3"/>
      <c r="C538" s="3"/>
      <c r="D538" s="3"/>
      <c r="E538" s="3"/>
      <c r="F538" s="20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>
      <c r="A539" s="3"/>
      <c r="B539" s="3"/>
      <c r="C539" s="3"/>
      <c r="D539" s="3"/>
      <c r="E539" s="3"/>
      <c r="F539" s="20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>
      <c r="A540" s="3"/>
      <c r="B540" s="3"/>
      <c r="C540" s="3"/>
      <c r="D540" s="3"/>
      <c r="E540" s="3"/>
      <c r="F540" s="20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>
      <c r="A541" s="3"/>
      <c r="B541" s="3"/>
      <c r="C541" s="3"/>
      <c r="D541" s="3"/>
      <c r="E541" s="3"/>
      <c r="F541" s="20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>
      <c r="A542" s="3"/>
      <c r="B542" s="3"/>
      <c r="C542" s="3"/>
      <c r="D542" s="3"/>
      <c r="E542" s="3"/>
      <c r="F542" s="20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>
      <c r="A543" s="3"/>
      <c r="B543" s="3"/>
      <c r="C543" s="3"/>
      <c r="D543" s="3"/>
      <c r="E543" s="3"/>
      <c r="F543" s="20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>
      <c r="A544" s="3"/>
      <c r="B544" s="3"/>
      <c r="C544" s="3"/>
      <c r="D544" s="3"/>
      <c r="E544" s="3"/>
      <c r="F544" s="20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>
      <c r="A545" s="3"/>
      <c r="B545" s="3"/>
      <c r="C545" s="3"/>
      <c r="D545" s="3"/>
      <c r="E545" s="3"/>
      <c r="F545" s="20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>
      <c r="A546" s="3"/>
      <c r="B546" s="3"/>
      <c r="C546" s="3"/>
      <c r="D546" s="3"/>
      <c r="E546" s="3"/>
      <c r="F546" s="20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>
      <c r="A547" s="3"/>
      <c r="B547" s="3"/>
      <c r="C547" s="3"/>
      <c r="D547" s="3"/>
      <c r="E547" s="3"/>
      <c r="F547" s="20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>
      <c r="A548" s="3"/>
      <c r="B548" s="3"/>
      <c r="C548" s="3"/>
      <c r="D548" s="3"/>
      <c r="E548" s="3"/>
      <c r="F548" s="20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>
      <c r="A549" s="3"/>
      <c r="B549" s="3"/>
      <c r="C549" s="3"/>
      <c r="D549" s="3"/>
      <c r="E549" s="3"/>
      <c r="F549" s="20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>
      <c r="A550" s="3"/>
      <c r="B550" s="3"/>
      <c r="C550" s="3"/>
      <c r="D550" s="3"/>
      <c r="E550" s="3"/>
      <c r="F550" s="20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>
      <c r="A551" s="3"/>
      <c r="B551" s="3"/>
      <c r="C551" s="3"/>
      <c r="D551" s="3"/>
      <c r="E551" s="3"/>
      <c r="F551" s="20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>
      <c r="A552" s="3"/>
      <c r="B552" s="3"/>
      <c r="C552" s="3"/>
      <c r="D552" s="3"/>
      <c r="E552" s="3"/>
      <c r="F552" s="20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>
      <c r="A553" s="3"/>
      <c r="B553" s="3"/>
      <c r="C553" s="3"/>
      <c r="D553" s="3"/>
      <c r="E553" s="3"/>
      <c r="F553" s="20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>
      <c r="A554" s="3"/>
      <c r="B554" s="3"/>
      <c r="C554" s="3"/>
      <c r="D554" s="3"/>
      <c r="E554" s="3"/>
      <c r="F554" s="20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>
      <c r="A555" s="3"/>
      <c r="B555" s="3"/>
      <c r="C555" s="3"/>
      <c r="D555" s="3"/>
      <c r="E555" s="3"/>
      <c r="F555" s="20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>
      <c r="A556" s="3"/>
      <c r="B556" s="3"/>
      <c r="C556" s="3"/>
      <c r="D556" s="3"/>
      <c r="E556" s="3"/>
      <c r="F556" s="20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>
      <c r="A557" s="3"/>
      <c r="B557" s="3"/>
      <c r="C557" s="3"/>
      <c r="D557" s="3"/>
      <c r="E557" s="3"/>
      <c r="F557" s="20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>
      <c r="A558" s="3"/>
      <c r="B558" s="3"/>
      <c r="C558" s="3"/>
      <c r="D558" s="3"/>
      <c r="E558" s="3"/>
      <c r="F558" s="20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>
      <c r="A559" s="3"/>
      <c r="B559" s="3"/>
      <c r="C559" s="3"/>
      <c r="D559" s="3"/>
      <c r="E559" s="3"/>
      <c r="F559" s="20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>
      <c r="A560" s="3"/>
      <c r="B560" s="3"/>
      <c r="C560" s="3"/>
      <c r="D560" s="3"/>
      <c r="E560" s="3"/>
      <c r="F560" s="20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>
      <c r="A561" s="3"/>
      <c r="B561" s="3"/>
      <c r="C561" s="3"/>
      <c r="D561" s="3"/>
      <c r="E561" s="3"/>
      <c r="F561" s="20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>
      <c r="A562" s="3"/>
      <c r="B562" s="3"/>
      <c r="C562" s="3"/>
      <c r="D562" s="3"/>
      <c r="E562" s="3"/>
      <c r="F562" s="20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>
      <c r="A563" s="3"/>
      <c r="B563" s="3"/>
      <c r="C563" s="3"/>
      <c r="D563" s="3"/>
      <c r="E563" s="3"/>
      <c r="F563" s="20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>
      <c r="A564" s="3"/>
      <c r="B564" s="3"/>
      <c r="C564" s="3"/>
      <c r="D564" s="3"/>
      <c r="E564" s="3"/>
      <c r="F564" s="20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>
      <c r="A565" s="3"/>
      <c r="B565" s="3"/>
      <c r="C565" s="3"/>
      <c r="D565" s="3"/>
      <c r="E565" s="3"/>
      <c r="F565" s="20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>
      <c r="A566" s="3"/>
      <c r="B566" s="3"/>
      <c r="C566" s="3"/>
      <c r="D566" s="3"/>
      <c r="E566" s="3"/>
      <c r="F566" s="20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>
      <c r="A567" s="3"/>
      <c r="B567" s="3"/>
      <c r="C567" s="3"/>
      <c r="D567" s="3"/>
      <c r="E567" s="3"/>
      <c r="F567" s="20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>
      <c r="A568" s="3"/>
      <c r="B568" s="3"/>
      <c r="C568" s="3"/>
      <c r="D568" s="3"/>
      <c r="E568" s="3"/>
      <c r="F568" s="20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>
      <c r="A569" s="3"/>
      <c r="B569" s="3"/>
      <c r="C569" s="3"/>
      <c r="D569" s="3"/>
      <c r="E569" s="3"/>
      <c r="F569" s="20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>
      <c r="A570" s="3"/>
      <c r="B570" s="3"/>
      <c r="C570" s="3"/>
      <c r="D570" s="3"/>
      <c r="E570" s="3"/>
      <c r="F570" s="20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>
      <c r="A571" s="3"/>
      <c r="B571" s="3"/>
      <c r="C571" s="3"/>
      <c r="D571" s="3"/>
      <c r="E571" s="3"/>
      <c r="F571" s="20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>
      <c r="A572" s="3"/>
      <c r="B572" s="3"/>
      <c r="C572" s="3"/>
      <c r="D572" s="3"/>
      <c r="E572" s="3"/>
      <c r="F572" s="20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>
      <c r="A573" s="3"/>
      <c r="B573" s="3"/>
      <c r="C573" s="3"/>
      <c r="D573" s="3"/>
      <c r="E573" s="3"/>
      <c r="F573" s="20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>
      <c r="A574" s="3"/>
      <c r="B574" s="3"/>
      <c r="C574" s="3"/>
      <c r="D574" s="3"/>
      <c r="E574" s="3"/>
      <c r="F574" s="20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>
      <c r="A575" s="3"/>
      <c r="B575" s="3"/>
      <c r="C575" s="3"/>
      <c r="D575" s="3"/>
      <c r="E575" s="3"/>
      <c r="F575" s="20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>
      <c r="A576" s="3"/>
      <c r="B576" s="3"/>
      <c r="C576" s="3"/>
      <c r="D576" s="3"/>
      <c r="E576" s="3"/>
      <c r="F576" s="20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>
      <c r="A577" s="3"/>
      <c r="B577" s="3"/>
      <c r="C577" s="3"/>
      <c r="D577" s="3"/>
      <c r="E577" s="3"/>
      <c r="F577" s="20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>
      <c r="A578" s="3"/>
      <c r="B578" s="3"/>
      <c r="C578" s="3"/>
      <c r="D578" s="3"/>
      <c r="E578" s="3"/>
      <c r="F578" s="20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>
      <c r="A579" s="3"/>
      <c r="B579" s="3"/>
      <c r="C579" s="3"/>
      <c r="D579" s="3"/>
      <c r="E579" s="3"/>
      <c r="F579" s="20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>
      <c r="A580" s="3"/>
      <c r="B580" s="3"/>
      <c r="C580" s="3"/>
      <c r="D580" s="3"/>
      <c r="E580" s="3"/>
      <c r="F580" s="20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>
      <c r="A581" s="3"/>
      <c r="B581" s="3"/>
      <c r="C581" s="3"/>
      <c r="D581" s="3"/>
      <c r="E581" s="3"/>
      <c r="F581" s="20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>
      <c r="A582" s="3"/>
      <c r="B582" s="3"/>
      <c r="C582" s="3"/>
      <c r="D582" s="3"/>
      <c r="E582" s="3"/>
      <c r="F582" s="20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>
      <c r="A583" s="3"/>
      <c r="B583" s="3"/>
      <c r="C583" s="3"/>
      <c r="D583" s="3"/>
      <c r="E583" s="3"/>
      <c r="F583" s="20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>
      <c r="A584" s="3"/>
      <c r="B584" s="3"/>
      <c r="C584" s="3"/>
      <c r="D584" s="3"/>
      <c r="E584" s="3"/>
      <c r="F584" s="20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>
      <c r="A585" s="3"/>
      <c r="B585" s="3"/>
      <c r="C585" s="3"/>
      <c r="D585" s="3"/>
      <c r="E585" s="3"/>
      <c r="F585" s="20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>
      <c r="A586" s="3"/>
      <c r="B586" s="3"/>
      <c r="C586" s="3"/>
      <c r="D586" s="3"/>
      <c r="E586" s="3"/>
      <c r="F586" s="20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>
      <c r="A587" s="3"/>
      <c r="B587" s="3"/>
      <c r="C587" s="3"/>
      <c r="D587" s="3"/>
      <c r="E587" s="3"/>
      <c r="F587" s="20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>
      <c r="A588" s="3"/>
      <c r="B588" s="3"/>
      <c r="C588" s="3"/>
      <c r="D588" s="3"/>
      <c r="E588" s="3"/>
      <c r="F588" s="20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>
      <c r="A589" s="3"/>
      <c r="B589" s="3"/>
      <c r="C589" s="3"/>
      <c r="D589" s="3"/>
      <c r="E589" s="3"/>
      <c r="F589" s="20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>
      <c r="A590" s="3"/>
      <c r="B590" s="3"/>
      <c r="C590" s="3"/>
      <c r="D590" s="3"/>
      <c r="E590" s="3"/>
      <c r="F590" s="20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>
      <c r="A591" s="3"/>
      <c r="B591" s="3"/>
      <c r="C591" s="3"/>
      <c r="D591" s="3"/>
      <c r="E591" s="3"/>
      <c r="F591" s="20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>
      <c r="A592" s="3"/>
      <c r="B592" s="3"/>
      <c r="C592" s="3"/>
      <c r="D592" s="3"/>
      <c r="E592" s="3"/>
      <c r="F592" s="20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>
      <c r="A593" s="3"/>
      <c r="B593" s="3"/>
      <c r="C593" s="3"/>
      <c r="D593" s="3"/>
      <c r="E593" s="3"/>
      <c r="F593" s="20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>
      <c r="A594" s="3"/>
      <c r="B594" s="3"/>
      <c r="C594" s="3"/>
      <c r="D594" s="3"/>
      <c r="E594" s="3"/>
      <c r="F594" s="20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>
      <c r="A595" s="3"/>
      <c r="B595" s="3"/>
      <c r="C595" s="3"/>
      <c r="D595" s="3"/>
      <c r="E595" s="3"/>
      <c r="F595" s="20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>
      <c r="A596" s="3"/>
      <c r="B596" s="3"/>
      <c r="C596" s="3"/>
      <c r="D596" s="3"/>
      <c r="E596" s="3"/>
      <c r="F596" s="20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>
      <c r="A597" s="3"/>
      <c r="B597" s="3"/>
      <c r="C597" s="3"/>
      <c r="D597" s="3"/>
      <c r="E597" s="3"/>
      <c r="F597" s="20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>
      <c r="A598" s="3"/>
      <c r="B598" s="3"/>
      <c r="C598" s="3"/>
      <c r="D598" s="3"/>
      <c r="E598" s="3"/>
      <c r="F598" s="20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>
      <c r="A599" s="3"/>
      <c r="B599" s="3"/>
      <c r="C599" s="3"/>
      <c r="D599" s="3"/>
      <c r="E599" s="3"/>
      <c r="F599" s="20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>
      <c r="A600" s="3"/>
      <c r="B600" s="3"/>
      <c r="C600" s="3"/>
      <c r="D600" s="3"/>
      <c r="E600" s="3"/>
      <c r="F600" s="20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>
      <c r="A601" s="3"/>
      <c r="B601" s="3"/>
      <c r="C601" s="3"/>
      <c r="D601" s="3"/>
      <c r="E601" s="3"/>
      <c r="F601" s="20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>
      <c r="A602" s="3"/>
      <c r="B602" s="3"/>
      <c r="C602" s="3"/>
      <c r="D602" s="3"/>
      <c r="E602" s="3"/>
      <c r="F602" s="20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>
      <c r="A603" s="3"/>
      <c r="B603" s="3"/>
      <c r="C603" s="3"/>
      <c r="D603" s="3"/>
      <c r="E603" s="3"/>
      <c r="F603" s="20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>
      <c r="A604" s="3"/>
      <c r="B604" s="3"/>
      <c r="C604" s="3"/>
      <c r="D604" s="3"/>
      <c r="E604" s="3"/>
      <c r="F604" s="20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>
      <c r="A605" s="3"/>
      <c r="B605" s="3"/>
      <c r="C605" s="3"/>
      <c r="D605" s="3"/>
      <c r="E605" s="3"/>
      <c r="F605" s="20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>
      <c r="A606" s="3"/>
      <c r="B606" s="3"/>
      <c r="C606" s="3"/>
      <c r="D606" s="3"/>
      <c r="E606" s="3"/>
      <c r="F606" s="20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>
      <c r="A607" s="3"/>
      <c r="B607" s="3"/>
      <c r="C607" s="3"/>
      <c r="D607" s="3"/>
      <c r="E607" s="3"/>
      <c r="F607" s="20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>
      <c r="A608" s="3"/>
      <c r="B608" s="3"/>
      <c r="C608" s="3"/>
      <c r="D608" s="3"/>
      <c r="E608" s="3"/>
      <c r="F608" s="20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>
      <c r="A609" s="3"/>
      <c r="B609" s="3"/>
      <c r="C609" s="3"/>
      <c r="D609" s="3"/>
      <c r="E609" s="3"/>
      <c r="F609" s="20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>
      <c r="A610" s="3"/>
      <c r="B610" s="3"/>
      <c r="C610" s="3"/>
      <c r="D610" s="3"/>
      <c r="E610" s="3"/>
      <c r="F610" s="20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>
      <c r="A611" s="3"/>
      <c r="B611" s="3"/>
      <c r="C611" s="3"/>
      <c r="D611" s="3"/>
      <c r="E611" s="3"/>
      <c r="F611" s="20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>
      <c r="A612" s="3"/>
      <c r="B612" s="3"/>
      <c r="C612" s="3"/>
      <c r="D612" s="3"/>
      <c r="E612" s="3"/>
      <c r="F612" s="20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>
      <c r="A613" s="3"/>
      <c r="B613" s="3"/>
      <c r="C613" s="3"/>
      <c r="D613" s="3"/>
      <c r="E613" s="3"/>
      <c r="F613" s="20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>
      <c r="A614" s="3"/>
      <c r="B614" s="3"/>
      <c r="C614" s="3"/>
      <c r="D614" s="3"/>
      <c r="E614" s="3"/>
      <c r="F614" s="20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>
      <c r="A615" s="3"/>
      <c r="B615" s="3"/>
      <c r="C615" s="3"/>
      <c r="D615" s="3"/>
      <c r="E615" s="3"/>
      <c r="F615" s="20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>
      <c r="A616" s="3"/>
      <c r="B616" s="3"/>
      <c r="C616" s="3"/>
      <c r="D616" s="3"/>
      <c r="E616" s="3"/>
      <c r="F616" s="20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>
      <c r="A617" s="3"/>
      <c r="B617" s="3"/>
      <c r="C617" s="3"/>
      <c r="D617" s="3"/>
      <c r="E617" s="3"/>
      <c r="F617" s="20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>
      <c r="A618" s="3"/>
      <c r="B618" s="3"/>
      <c r="C618" s="3"/>
      <c r="D618" s="3"/>
      <c r="E618" s="3"/>
      <c r="F618" s="20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>
      <c r="A619" s="3"/>
      <c r="B619" s="3"/>
      <c r="C619" s="3"/>
      <c r="D619" s="3"/>
      <c r="E619" s="3"/>
      <c r="F619" s="20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>
      <c r="A620" s="3"/>
      <c r="B620" s="3"/>
      <c r="C620" s="3"/>
      <c r="D620" s="3"/>
      <c r="E620" s="3"/>
      <c r="F620" s="20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>
      <c r="A621" s="3"/>
      <c r="B621" s="3"/>
      <c r="C621" s="3"/>
      <c r="D621" s="3"/>
      <c r="E621" s="3"/>
      <c r="F621" s="20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>
      <c r="A622" s="3"/>
      <c r="B622" s="3"/>
      <c r="C622" s="3"/>
      <c r="D622" s="3"/>
      <c r="E622" s="3"/>
      <c r="F622" s="20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>
      <c r="A623" s="3"/>
      <c r="B623" s="3"/>
      <c r="C623" s="3"/>
      <c r="D623" s="3"/>
      <c r="E623" s="3"/>
      <c r="F623" s="20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>
      <c r="A624" s="3"/>
      <c r="B624" s="3"/>
      <c r="C624" s="3"/>
      <c r="D624" s="3"/>
      <c r="E624" s="3"/>
      <c r="F624" s="20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>
      <c r="A625" s="3"/>
      <c r="B625" s="3"/>
      <c r="C625" s="3"/>
      <c r="D625" s="3"/>
      <c r="E625" s="3"/>
      <c r="F625" s="20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>
      <c r="A626" s="3"/>
      <c r="B626" s="3"/>
      <c r="C626" s="3"/>
      <c r="D626" s="3"/>
      <c r="E626" s="3"/>
      <c r="F626" s="20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>
      <c r="A627" s="3"/>
      <c r="B627" s="3"/>
      <c r="C627" s="3"/>
      <c r="D627" s="3"/>
      <c r="E627" s="3"/>
      <c r="F627" s="20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>
      <c r="A628" s="3"/>
      <c r="B628" s="3"/>
      <c r="C628" s="3"/>
      <c r="D628" s="3"/>
      <c r="E628" s="3"/>
      <c r="F628" s="20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>
      <c r="A629" s="3"/>
      <c r="B629" s="3"/>
      <c r="C629" s="3"/>
      <c r="D629" s="3"/>
      <c r="E629" s="3"/>
      <c r="F629" s="20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>
      <c r="A630" s="3"/>
      <c r="B630" s="3"/>
      <c r="C630" s="3"/>
      <c r="D630" s="3"/>
      <c r="E630" s="3"/>
      <c r="F630" s="20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>
      <c r="A631" s="3"/>
      <c r="B631" s="3"/>
      <c r="C631" s="3"/>
      <c r="D631" s="3"/>
      <c r="E631" s="3"/>
      <c r="F631" s="20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>
      <c r="A632" s="3"/>
      <c r="B632" s="3"/>
      <c r="C632" s="3"/>
      <c r="D632" s="3"/>
      <c r="E632" s="3"/>
      <c r="F632" s="20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>
      <c r="A633" s="3"/>
      <c r="B633" s="3"/>
      <c r="C633" s="3"/>
      <c r="D633" s="3"/>
      <c r="E633" s="3"/>
      <c r="F633" s="20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>
      <c r="A634" s="3"/>
      <c r="B634" s="3"/>
      <c r="C634" s="3"/>
      <c r="D634" s="3"/>
      <c r="E634" s="3"/>
      <c r="F634" s="20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>
      <c r="A635" s="3"/>
      <c r="B635" s="3"/>
      <c r="C635" s="3"/>
      <c r="D635" s="3"/>
      <c r="E635" s="3"/>
      <c r="F635" s="20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>
      <c r="A636" s="3"/>
      <c r="B636" s="3"/>
      <c r="C636" s="3"/>
      <c r="D636" s="3"/>
      <c r="E636" s="3"/>
      <c r="F636" s="20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>
      <c r="A637" s="3"/>
      <c r="B637" s="3"/>
      <c r="C637" s="3"/>
      <c r="D637" s="3"/>
      <c r="E637" s="3"/>
      <c r="F637" s="20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>
      <c r="A638" s="3"/>
      <c r="B638" s="3"/>
      <c r="C638" s="3"/>
      <c r="D638" s="3"/>
      <c r="E638" s="3"/>
      <c r="F638" s="20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>
      <c r="A639" s="3"/>
      <c r="B639" s="3"/>
      <c r="C639" s="3"/>
      <c r="D639" s="3"/>
      <c r="E639" s="3"/>
      <c r="F639" s="20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>
      <c r="A640" s="3"/>
      <c r="B640" s="3"/>
      <c r="C640" s="3"/>
      <c r="D640" s="3"/>
      <c r="E640" s="3"/>
      <c r="F640" s="20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>
      <c r="A641" s="3"/>
      <c r="B641" s="3"/>
      <c r="C641" s="3"/>
      <c r="D641" s="3"/>
      <c r="E641" s="3"/>
      <c r="F641" s="20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>
      <c r="A642" s="3"/>
      <c r="B642" s="3"/>
      <c r="C642" s="3"/>
      <c r="D642" s="3"/>
      <c r="E642" s="3"/>
      <c r="F642" s="20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>
      <c r="A643" s="3"/>
      <c r="B643" s="3"/>
      <c r="C643" s="3"/>
      <c r="D643" s="3"/>
      <c r="E643" s="3"/>
      <c r="F643" s="20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>
      <c r="A644" s="3"/>
      <c r="B644" s="3"/>
      <c r="C644" s="3"/>
      <c r="D644" s="3"/>
      <c r="E644" s="3"/>
      <c r="F644" s="20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>
      <c r="A645" s="3"/>
      <c r="B645" s="3"/>
      <c r="C645" s="3"/>
      <c r="D645" s="3"/>
      <c r="E645" s="3"/>
      <c r="F645" s="20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>
      <c r="A646" s="3"/>
      <c r="B646" s="3"/>
      <c r="C646" s="3"/>
      <c r="D646" s="3"/>
      <c r="E646" s="3"/>
      <c r="F646" s="20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>
      <c r="A647" s="3"/>
      <c r="B647" s="3"/>
      <c r="C647" s="3"/>
      <c r="D647" s="3"/>
      <c r="E647" s="3"/>
      <c r="F647" s="20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>
      <c r="A648" s="3"/>
      <c r="B648" s="3"/>
      <c r="C648" s="3"/>
      <c r="D648" s="3"/>
      <c r="E648" s="3"/>
      <c r="F648" s="20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>
      <c r="A649" s="3"/>
      <c r="B649" s="3"/>
      <c r="C649" s="3"/>
      <c r="D649" s="3"/>
      <c r="E649" s="3"/>
      <c r="F649" s="20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>
      <c r="A650" s="3"/>
      <c r="B650" s="3"/>
      <c r="C650" s="3"/>
      <c r="D650" s="3"/>
      <c r="E650" s="3"/>
      <c r="F650" s="20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>
      <c r="A651" s="3"/>
      <c r="B651" s="3"/>
      <c r="C651" s="3"/>
      <c r="D651" s="3"/>
      <c r="E651" s="3"/>
      <c r="F651" s="20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>
      <c r="A652" s="3"/>
      <c r="B652" s="3"/>
      <c r="C652" s="3"/>
      <c r="D652" s="3"/>
      <c r="E652" s="3"/>
      <c r="F652" s="20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>
      <c r="A653" s="3"/>
      <c r="B653" s="3"/>
      <c r="C653" s="3"/>
      <c r="D653" s="3"/>
      <c r="E653" s="3"/>
      <c r="F653" s="20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>
      <c r="A654" s="3"/>
      <c r="B654" s="3"/>
      <c r="C654" s="3"/>
      <c r="D654" s="3"/>
      <c r="E654" s="3"/>
      <c r="F654" s="20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>
      <c r="A655" s="3"/>
      <c r="B655" s="3"/>
      <c r="C655" s="3"/>
      <c r="D655" s="3"/>
      <c r="E655" s="3"/>
      <c r="F655" s="20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>
      <c r="A656" s="3"/>
      <c r="B656" s="3"/>
      <c r="C656" s="3"/>
      <c r="D656" s="3"/>
      <c r="E656" s="3"/>
      <c r="F656" s="20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>
      <c r="A657" s="3"/>
      <c r="B657" s="3"/>
      <c r="C657" s="3"/>
      <c r="D657" s="3"/>
      <c r="E657" s="3"/>
      <c r="F657" s="20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>
      <c r="A658" s="3"/>
      <c r="B658" s="3"/>
      <c r="C658" s="3"/>
      <c r="D658" s="3"/>
      <c r="E658" s="3"/>
      <c r="F658" s="20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>
      <c r="A659" s="3"/>
      <c r="B659" s="3"/>
      <c r="C659" s="3"/>
      <c r="D659" s="3"/>
      <c r="E659" s="3"/>
      <c r="F659" s="20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>
      <c r="A660" s="3"/>
      <c r="B660" s="3"/>
      <c r="C660" s="3"/>
      <c r="D660" s="3"/>
      <c r="E660" s="3"/>
      <c r="F660" s="20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>
      <c r="A661" s="3"/>
      <c r="B661" s="3"/>
      <c r="C661" s="3"/>
      <c r="D661" s="3"/>
      <c r="E661" s="3"/>
      <c r="F661" s="20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>
      <c r="A662" s="3"/>
      <c r="B662" s="3"/>
      <c r="C662" s="3"/>
      <c r="D662" s="3"/>
      <c r="E662" s="3"/>
      <c r="F662" s="20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>
      <c r="A663" s="3"/>
      <c r="B663" s="3"/>
      <c r="C663" s="3"/>
      <c r="D663" s="3"/>
      <c r="E663" s="3"/>
      <c r="F663" s="20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>
      <c r="A664" s="3"/>
      <c r="B664" s="3"/>
      <c r="C664" s="3"/>
      <c r="D664" s="3"/>
      <c r="E664" s="3"/>
      <c r="F664" s="20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>
      <c r="A665" s="3"/>
      <c r="B665" s="3"/>
      <c r="C665" s="3"/>
      <c r="D665" s="3"/>
      <c r="E665" s="3"/>
      <c r="F665" s="20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>
      <c r="A666" s="3"/>
      <c r="B666" s="3"/>
      <c r="C666" s="3"/>
      <c r="D666" s="3"/>
      <c r="E666" s="3"/>
      <c r="F666" s="20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>
      <c r="A667" s="3"/>
      <c r="B667" s="3"/>
      <c r="C667" s="3"/>
      <c r="D667" s="3"/>
      <c r="E667" s="3"/>
      <c r="F667" s="20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>
      <c r="A668" s="3"/>
      <c r="B668" s="3"/>
      <c r="C668" s="3"/>
      <c r="D668" s="3"/>
      <c r="E668" s="3"/>
      <c r="F668" s="20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>
      <c r="A669" s="3"/>
      <c r="B669" s="3"/>
      <c r="C669" s="3"/>
      <c r="D669" s="3"/>
      <c r="E669" s="3"/>
      <c r="F669" s="20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>
      <c r="A670" s="3"/>
      <c r="B670" s="3"/>
      <c r="C670" s="3"/>
      <c r="D670" s="3"/>
      <c r="E670" s="3"/>
      <c r="F670" s="20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>
      <c r="A671" s="3"/>
      <c r="B671" s="3"/>
      <c r="C671" s="3"/>
      <c r="D671" s="3"/>
      <c r="E671" s="3"/>
      <c r="F671" s="20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>
      <c r="A672" s="3"/>
      <c r="B672" s="3"/>
      <c r="C672" s="3"/>
      <c r="D672" s="3"/>
      <c r="E672" s="3"/>
      <c r="F672" s="20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>
      <c r="A673" s="3"/>
      <c r="B673" s="3"/>
      <c r="C673" s="3"/>
      <c r="D673" s="3"/>
      <c r="E673" s="3"/>
      <c r="F673" s="20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>
      <c r="A674" s="3"/>
      <c r="B674" s="3"/>
      <c r="C674" s="3"/>
      <c r="D674" s="3"/>
      <c r="E674" s="3"/>
      <c r="F674" s="20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>
      <c r="A675" s="3"/>
      <c r="B675" s="3"/>
      <c r="C675" s="3"/>
      <c r="D675" s="3"/>
      <c r="E675" s="3"/>
      <c r="F675" s="20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>
      <c r="A676" s="3"/>
      <c r="B676" s="3"/>
      <c r="C676" s="3"/>
      <c r="D676" s="3"/>
      <c r="E676" s="3"/>
      <c r="F676" s="20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>
      <c r="A677" s="3"/>
      <c r="B677" s="3"/>
      <c r="C677" s="3"/>
      <c r="D677" s="3"/>
      <c r="E677" s="3"/>
      <c r="F677" s="20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>
      <c r="A678" s="3"/>
      <c r="B678" s="3"/>
      <c r="C678" s="3"/>
      <c r="D678" s="3"/>
      <c r="E678" s="3"/>
      <c r="F678" s="20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>
      <c r="A679" s="3"/>
      <c r="B679" s="3"/>
      <c r="C679" s="3"/>
      <c r="D679" s="3"/>
      <c r="E679" s="3"/>
      <c r="F679" s="20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>
      <c r="A680" s="3"/>
      <c r="B680" s="3"/>
      <c r="C680" s="3"/>
      <c r="D680" s="3"/>
      <c r="E680" s="3"/>
      <c r="F680" s="20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>
      <c r="A681" s="3"/>
      <c r="B681" s="3"/>
      <c r="C681" s="3"/>
      <c r="D681" s="3"/>
      <c r="E681" s="3"/>
      <c r="F681" s="20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>
      <c r="A682" s="3"/>
      <c r="B682" s="3"/>
      <c r="C682" s="3"/>
      <c r="D682" s="3"/>
      <c r="E682" s="3"/>
      <c r="F682" s="20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>
      <c r="A683" s="3"/>
      <c r="B683" s="3"/>
      <c r="C683" s="3"/>
      <c r="D683" s="3"/>
      <c r="E683" s="3"/>
      <c r="F683" s="20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>
      <c r="A684" s="3"/>
      <c r="B684" s="3"/>
      <c r="C684" s="3"/>
      <c r="D684" s="3"/>
      <c r="E684" s="3"/>
      <c r="F684" s="20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>
      <c r="A685" s="3"/>
      <c r="B685" s="3"/>
      <c r="C685" s="3"/>
      <c r="D685" s="3"/>
      <c r="E685" s="3"/>
      <c r="F685" s="20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>
      <c r="A686" s="3"/>
      <c r="B686" s="3"/>
      <c r="C686" s="3"/>
      <c r="D686" s="3"/>
      <c r="E686" s="3"/>
      <c r="F686" s="20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>
      <c r="A687" s="3"/>
      <c r="B687" s="3"/>
      <c r="C687" s="3"/>
      <c r="D687" s="3"/>
      <c r="E687" s="3"/>
      <c r="F687" s="20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>
      <c r="A688" s="3"/>
      <c r="B688" s="3"/>
      <c r="C688" s="3"/>
      <c r="D688" s="3"/>
      <c r="E688" s="3"/>
      <c r="F688" s="20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>
      <c r="A689" s="3"/>
      <c r="B689" s="3"/>
      <c r="C689" s="3"/>
      <c r="D689" s="3"/>
      <c r="E689" s="3"/>
      <c r="F689" s="20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>
      <c r="A690" s="3"/>
      <c r="B690" s="3"/>
      <c r="C690" s="3"/>
      <c r="D690" s="3"/>
      <c r="E690" s="3"/>
      <c r="F690" s="20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>
      <c r="A691" s="3"/>
      <c r="B691" s="3"/>
      <c r="C691" s="3"/>
      <c r="D691" s="3"/>
      <c r="E691" s="3"/>
      <c r="F691" s="20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>
      <c r="A692" s="3"/>
      <c r="B692" s="3"/>
      <c r="C692" s="3"/>
      <c r="D692" s="3"/>
      <c r="E692" s="3"/>
      <c r="F692" s="20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>
      <c r="A693" s="3"/>
      <c r="B693" s="3"/>
      <c r="C693" s="3"/>
      <c r="D693" s="3"/>
      <c r="E693" s="3"/>
      <c r="F693" s="20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>
      <c r="A694" s="3"/>
      <c r="B694" s="3"/>
      <c r="C694" s="3"/>
      <c r="D694" s="3"/>
      <c r="E694" s="3"/>
      <c r="F694" s="20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>
      <c r="A695" s="3"/>
      <c r="B695" s="3"/>
      <c r="C695" s="3"/>
      <c r="D695" s="3"/>
      <c r="E695" s="3"/>
      <c r="F695" s="20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>
      <c r="A696" s="3"/>
      <c r="B696" s="3"/>
      <c r="C696" s="3"/>
      <c r="D696" s="3"/>
      <c r="E696" s="3"/>
      <c r="F696" s="20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>
      <c r="A697" s="3"/>
      <c r="B697" s="3"/>
      <c r="C697" s="3"/>
      <c r="D697" s="3"/>
      <c r="E697" s="3"/>
      <c r="F697" s="20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>
      <c r="A698" s="3"/>
      <c r="B698" s="3"/>
      <c r="C698" s="3"/>
      <c r="D698" s="3"/>
      <c r="E698" s="3"/>
      <c r="F698" s="20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>
      <c r="A699" s="3"/>
      <c r="B699" s="3"/>
      <c r="C699" s="3"/>
      <c r="D699" s="3"/>
      <c r="E699" s="3"/>
      <c r="F699" s="20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>
      <c r="A700" s="3"/>
      <c r="B700" s="3"/>
      <c r="C700" s="3"/>
      <c r="D700" s="3"/>
      <c r="E700" s="3"/>
      <c r="F700" s="20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>
      <c r="A701" s="3"/>
      <c r="B701" s="3"/>
      <c r="C701" s="3"/>
      <c r="D701" s="3"/>
      <c r="E701" s="3"/>
      <c r="F701" s="20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>
      <c r="A702" s="3"/>
      <c r="B702" s="3"/>
      <c r="C702" s="3"/>
      <c r="D702" s="3"/>
      <c r="E702" s="3"/>
      <c r="F702" s="20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>
      <c r="A703" s="3"/>
      <c r="B703" s="3"/>
      <c r="C703" s="3"/>
      <c r="D703" s="3"/>
      <c r="E703" s="3"/>
      <c r="F703" s="20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>
      <c r="A704" s="3"/>
      <c r="B704" s="3"/>
      <c r="C704" s="3"/>
      <c r="D704" s="3"/>
      <c r="E704" s="3"/>
      <c r="F704" s="20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>
      <c r="A705" s="3"/>
      <c r="B705" s="3"/>
      <c r="C705" s="3"/>
      <c r="D705" s="3"/>
      <c r="E705" s="3"/>
      <c r="F705" s="20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>
      <c r="A706" s="3"/>
      <c r="B706" s="3"/>
      <c r="C706" s="3"/>
      <c r="D706" s="3"/>
      <c r="E706" s="3"/>
      <c r="F706" s="20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>
      <c r="A707" s="3"/>
      <c r="B707" s="3"/>
      <c r="C707" s="3"/>
      <c r="D707" s="3"/>
      <c r="E707" s="3"/>
      <c r="F707" s="20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>
      <c r="A708" s="3"/>
      <c r="B708" s="3"/>
      <c r="C708" s="3"/>
      <c r="D708" s="3"/>
      <c r="E708" s="3"/>
      <c r="F708" s="20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>
      <c r="A709" s="3"/>
      <c r="B709" s="3"/>
      <c r="C709" s="3"/>
      <c r="D709" s="3"/>
      <c r="E709" s="3"/>
      <c r="F709" s="20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>
      <c r="A710" s="3"/>
      <c r="B710" s="3"/>
      <c r="C710" s="3"/>
      <c r="D710" s="3"/>
      <c r="E710" s="3"/>
      <c r="F710" s="20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>
      <c r="A711" s="3"/>
      <c r="B711" s="3"/>
      <c r="C711" s="3"/>
      <c r="D711" s="3"/>
      <c r="E711" s="3"/>
      <c r="F711" s="20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>
      <c r="A712" s="3"/>
      <c r="B712" s="3"/>
      <c r="C712" s="3"/>
      <c r="D712" s="3"/>
      <c r="E712" s="3"/>
      <c r="F712" s="20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>
      <c r="A713" s="3"/>
      <c r="B713" s="3"/>
      <c r="C713" s="3"/>
      <c r="D713" s="3"/>
      <c r="E713" s="3"/>
      <c r="F713" s="20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>
      <c r="A714" s="3"/>
      <c r="B714" s="3"/>
      <c r="C714" s="3"/>
      <c r="D714" s="3"/>
      <c r="E714" s="3"/>
      <c r="F714" s="20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>
      <c r="A715" s="3"/>
      <c r="B715" s="3"/>
      <c r="C715" s="3"/>
      <c r="D715" s="3"/>
      <c r="E715" s="3"/>
      <c r="F715" s="20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>
      <c r="A716" s="3"/>
      <c r="B716" s="3"/>
      <c r="C716" s="3"/>
      <c r="D716" s="3"/>
      <c r="E716" s="3"/>
      <c r="F716" s="20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>
      <c r="A717" s="3"/>
      <c r="B717" s="3"/>
      <c r="C717" s="3"/>
      <c r="D717" s="3"/>
      <c r="E717" s="3"/>
      <c r="F717" s="20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>
      <c r="A718" s="3"/>
      <c r="B718" s="3"/>
      <c r="C718" s="3"/>
      <c r="D718" s="3"/>
      <c r="E718" s="3"/>
      <c r="F718" s="20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>
      <c r="A719" s="3"/>
      <c r="B719" s="3"/>
      <c r="C719" s="3"/>
      <c r="D719" s="3"/>
      <c r="E719" s="3"/>
      <c r="F719" s="20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>
      <c r="A720" s="3"/>
      <c r="B720" s="3"/>
      <c r="C720" s="3"/>
      <c r="D720" s="3"/>
      <c r="E720" s="3"/>
      <c r="F720" s="20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>
      <c r="A721" s="3"/>
      <c r="B721" s="3"/>
      <c r="C721" s="3"/>
      <c r="D721" s="3"/>
      <c r="E721" s="3"/>
      <c r="F721" s="20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>
      <c r="A722" s="3"/>
      <c r="B722" s="3"/>
      <c r="C722" s="3"/>
      <c r="D722" s="3"/>
      <c r="E722" s="3"/>
      <c r="F722" s="20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>
      <c r="A723" s="3"/>
      <c r="B723" s="3"/>
      <c r="C723" s="3"/>
      <c r="D723" s="3"/>
      <c r="E723" s="3"/>
      <c r="F723" s="20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>
      <c r="A724" s="3"/>
      <c r="B724" s="3"/>
      <c r="C724" s="3"/>
      <c r="D724" s="3"/>
      <c r="E724" s="3"/>
      <c r="F724" s="20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>
      <c r="A725" s="3"/>
      <c r="B725" s="3"/>
      <c r="C725" s="3"/>
      <c r="D725" s="3"/>
      <c r="E725" s="3"/>
      <c r="F725" s="20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>
      <c r="A726" s="3"/>
      <c r="B726" s="3"/>
      <c r="C726" s="3"/>
      <c r="D726" s="3"/>
      <c r="E726" s="3"/>
      <c r="F726" s="20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>
      <c r="A727" s="3"/>
      <c r="B727" s="3"/>
      <c r="C727" s="3"/>
      <c r="D727" s="3"/>
      <c r="E727" s="3"/>
      <c r="F727" s="20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>
      <c r="A728" s="3"/>
      <c r="B728" s="3"/>
      <c r="C728" s="3"/>
      <c r="D728" s="3"/>
      <c r="E728" s="3"/>
      <c r="F728" s="20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>
      <c r="A729" s="3"/>
      <c r="B729" s="3"/>
      <c r="C729" s="3"/>
      <c r="D729" s="3"/>
      <c r="E729" s="3"/>
      <c r="F729" s="20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>
      <c r="A730" s="3"/>
      <c r="B730" s="3"/>
      <c r="C730" s="3"/>
      <c r="D730" s="3"/>
      <c r="E730" s="3"/>
      <c r="F730" s="20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>
      <c r="A731" s="3"/>
      <c r="B731" s="3"/>
      <c r="C731" s="3"/>
      <c r="D731" s="3"/>
      <c r="E731" s="3"/>
      <c r="F731" s="20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>
      <c r="A732" s="3"/>
      <c r="B732" s="3"/>
      <c r="C732" s="3"/>
      <c r="D732" s="3"/>
      <c r="E732" s="3"/>
      <c r="F732" s="20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>
      <c r="A733" s="3"/>
      <c r="B733" s="3"/>
      <c r="C733" s="3"/>
      <c r="D733" s="3"/>
      <c r="E733" s="3"/>
      <c r="F733" s="20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>
      <c r="A734" s="3"/>
      <c r="B734" s="3"/>
      <c r="C734" s="3"/>
      <c r="D734" s="3"/>
      <c r="E734" s="3"/>
      <c r="F734" s="20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>
      <c r="A735" s="3"/>
      <c r="B735" s="3"/>
      <c r="C735" s="3"/>
      <c r="D735" s="3"/>
      <c r="E735" s="3"/>
      <c r="F735" s="20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>
      <c r="A736" s="3"/>
      <c r="B736" s="3"/>
      <c r="C736" s="3"/>
      <c r="D736" s="3"/>
      <c r="E736" s="3"/>
      <c r="F736" s="20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>
      <c r="A737" s="3"/>
      <c r="B737" s="3"/>
      <c r="C737" s="3"/>
      <c r="D737" s="3"/>
      <c r="E737" s="3"/>
      <c r="F737" s="20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>
      <c r="A738" s="3"/>
      <c r="B738" s="3"/>
      <c r="C738" s="3"/>
      <c r="D738" s="3"/>
      <c r="E738" s="3"/>
      <c r="F738" s="20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>
      <c r="A739" s="3"/>
      <c r="B739" s="3"/>
      <c r="C739" s="3"/>
      <c r="D739" s="3"/>
      <c r="E739" s="3"/>
      <c r="F739" s="20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>
      <c r="A740" s="3"/>
      <c r="B740" s="3"/>
      <c r="C740" s="3"/>
      <c r="D740" s="3"/>
      <c r="E740" s="3"/>
      <c r="F740" s="20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>
      <c r="A741" s="3"/>
      <c r="B741" s="3"/>
      <c r="C741" s="3"/>
      <c r="D741" s="3"/>
      <c r="E741" s="3"/>
      <c r="F741" s="20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>
      <c r="A742" s="3"/>
      <c r="B742" s="3"/>
      <c r="C742" s="3"/>
      <c r="D742" s="3"/>
      <c r="E742" s="3"/>
      <c r="F742" s="20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>
      <c r="A743" s="3"/>
      <c r="B743" s="3"/>
      <c r="C743" s="3"/>
      <c r="D743" s="3"/>
      <c r="E743" s="3"/>
      <c r="F743" s="20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>
      <c r="A744" s="3"/>
      <c r="B744" s="3"/>
      <c r="C744" s="3"/>
      <c r="D744" s="3"/>
      <c r="E744" s="3"/>
      <c r="F744" s="20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>
      <c r="A745" s="3"/>
      <c r="B745" s="3"/>
      <c r="C745" s="3"/>
      <c r="D745" s="3"/>
      <c r="E745" s="3"/>
      <c r="F745" s="20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>
      <c r="A746" s="3"/>
      <c r="B746" s="3"/>
      <c r="C746" s="3"/>
      <c r="D746" s="3"/>
      <c r="E746" s="3"/>
      <c r="F746" s="20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>
      <c r="A747" s="3"/>
      <c r="B747" s="3"/>
      <c r="C747" s="3"/>
      <c r="D747" s="3"/>
      <c r="E747" s="3"/>
      <c r="F747" s="20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>
      <c r="A748" s="3"/>
      <c r="B748" s="3"/>
      <c r="C748" s="3"/>
      <c r="D748" s="3"/>
      <c r="E748" s="3"/>
      <c r="F748" s="20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>
      <c r="A749" s="3"/>
      <c r="B749" s="3"/>
      <c r="C749" s="3"/>
      <c r="D749" s="3"/>
      <c r="E749" s="3"/>
      <c r="F749" s="20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>
      <c r="A750" s="3"/>
      <c r="B750" s="3"/>
      <c r="C750" s="3"/>
      <c r="D750" s="3"/>
      <c r="E750" s="3"/>
      <c r="F750" s="20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>
      <c r="A751" s="3"/>
      <c r="B751" s="3"/>
      <c r="C751" s="3"/>
      <c r="D751" s="3"/>
      <c r="E751" s="3"/>
      <c r="F751" s="20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>
      <c r="A752" s="3"/>
      <c r="B752" s="3"/>
      <c r="C752" s="3"/>
      <c r="D752" s="3"/>
      <c r="E752" s="3"/>
      <c r="F752" s="20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>
      <c r="A753" s="3"/>
      <c r="B753" s="3"/>
      <c r="C753" s="3"/>
      <c r="D753" s="3"/>
      <c r="E753" s="3"/>
      <c r="F753" s="20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>
      <c r="A754" s="3"/>
      <c r="B754" s="3"/>
      <c r="C754" s="3"/>
      <c r="D754" s="3"/>
      <c r="E754" s="3"/>
      <c r="F754" s="20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>
      <c r="A755" s="3"/>
      <c r="B755" s="3"/>
      <c r="C755" s="3"/>
      <c r="D755" s="3"/>
      <c r="E755" s="3"/>
      <c r="F755" s="20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>
      <c r="A756" s="3"/>
      <c r="B756" s="3"/>
      <c r="C756" s="3"/>
      <c r="D756" s="3"/>
      <c r="E756" s="3"/>
      <c r="F756" s="20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>
      <c r="A757" s="3"/>
      <c r="B757" s="3"/>
      <c r="C757" s="3"/>
      <c r="D757" s="3"/>
      <c r="E757" s="3"/>
      <c r="F757" s="20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>
      <c r="A758" s="3"/>
      <c r="B758" s="3"/>
      <c r="C758" s="3"/>
      <c r="D758" s="3"/>
      <c r="E758" s="3"/>
      <c r="F758" s="20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>
      <c r="A759" s="3"/>
      <c r="B759" s="3"/>
      <c r="C759" s="3"/>
      <c r="D759" s="3"/>
      <c r="E759" s="3"/>
      <c r="F759" s="20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>
      <c r="A760" s="3"/>
      <c r="B760" s="3"/>
      <c r="C760" s="3"/>
      <c r="D760" s="3"/>
      <c r="E760" s="3"/>
      <c r="F760" s="20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>
      <c r="A761" s="3"/>
      <c r="B761" s="3"/>
      <c r="C761" s="3"/>
      <c r="D761" s="3"/>
      <c r="E761" s="3"/>
      <c r="F761" s="20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>
      <c r="A762" s="3"/>
      <c r="B762" s="3"/>
      <c r="C762" s="3"/>
      <c r="D762" s="3"/>
      <c r="E762" s="3"/>
      <c r="F762" s="20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>
      <c r="A763" s="3"/>
      <c r="B763" s="3"/>
      <c r="C763" s="3"/>
      <c r="D763" s="3"/>
      <c r="E763" s="3"/>
      <c r="F763" s="20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>
      <c r="A764" s="3"/>
      <c r="B764" s="3"/>
      <c r="C764" s="3"/>
      <c r="D764" s="3"/>
      <c r="E764" s="3"/>
      <c r="F764" s="20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>
      <c r="A765" s="3"/>
      <c r="B765" s="3"/>
      <c r="C765" s="3"/>
      <c r="D765" s="3"/>
      <c r="E765" s="3"/>
      <c r="F765" s="20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>
      <c r="A766" s="3"/>
      <c r="B766" s="3"/>
      <c r="C766" s="3"/>
      <c r="D766" s="3"/>
      <c r="E766" s="3"/>
      <c r="F766" s="20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>
      <c r="A767" s="3"/>
      <c r="B767" s="3"/>
      <c r="C767" s="3"/>
      <c r="D767" s="3"/>
      <c r="E767" s="3"/>
      <c r="F767" s="20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>
      <c r="A768" s="3"/>
      <c r="B768" s="3"/>
      <c r="C768" s="3"/>
      <c r="D768" s="3"/>
      <c r="E768" s="3"/>
      <c r="F768" s="20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>
      <c r="A769" s="3"/>
      <c r="B769" s="3"/>
      <c r="C769" s="3"/>
      <c r="D769" s="3"/>
      <c r="E769" s="3"/>
      <c r="F769" s="20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>
      <c r="A770" s="3"/>
      <c r="B770" s="3"/>
      <c r="C770" s="3"/>
      <c r="D770" s="3"/>
      <c r="E770" s="3"/>
      <c r="F770" s="20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>
      <c r="A771" s="3"/>
      <c r="B771" s="3"/>
      <c r="C771" s="3"/>
      <c r="D771" s="3"/>
      <c r="E771" s="3"/>
      <c r="F771" s="20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>
      <c r="A772" s="3"/>
      <c r="B772" s="3"/>
      <c r="C772" s="3"/>
      <c r="D772" s="3"/>
      <c r="E772" s="3"/>
      <c r="F772" s="20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>
      <c r="A773" s="3"/>
      <c r="B773" s="3"/>
      <c r="C773" s="3"/>
      <c r="D773" s="3"/>
      <c r="E773" s="3"/>
      <c r="F773" s="20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>
      <c r="A774" s="3"/>
      <c r="B774" s="3"/>
      <c r="C774" s="3"/>
      <c r="D774" s="3"/>
      <c r="E774" s="3"/>
      <c r="F774" s="20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>
      <c r="A775" s="3"/>
      <c r="B775" s="3"/>
      <c r="C775" s="3"/>
      <c r="D775" s="3"/>
      <c r="E775" s="3"/>
      <c r="F775" s="20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>
      <c r="A776" s="3"/>
      <c r="B776" s="3"/>
      <c r="C776" s="3"/>
      <c r="D776" s="3"/>
      <c r="E776" s="3"/>
      <c r="F776" s="20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>
      <c r="A777" s="3"/>
      <c r="B777" s="3"/>
      <c r="C777" s="3"/>
      <c r="D777" s="3"/>
      <c r="E777" s="3"/>
      <c r="F777" s="20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>
      <c r="A778" s="3"/>
      <c r="B778" s="3"/>
      <c r="C778" s="3"/>
      <c r="D778" s="3"/>
      <c r="E778" s="3"/>
      <c r="F778" s="20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>
      <c r="A779" s="3"/>
      <c r="B779" s="3"/>
      <c r="C779" s="3"/>
      <c r="D779" s="3"/>
      <c r="E779" s="3"/>
      <c r="F779" s="20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>
      <c r="A780" s="3"/>
      <c r="B780" s="3"/>
      <c r="C780" s="3"/>
      <c r="D780" s="3"/>
      <c r="E780" s="3"/>
      <c r="F780" s="20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>
      <c r="A781" s="3"/>
      <c r="B781" s="3"/>
      <c r="C781" s="3"/>
      <c r="D781" s="3"/>
      <c r="E781" s="3"/>
      <c r="F781" s="20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>
      <c r="A782" s="3"/>
      <c r="B782" s="3"/>
      <c r="C782" s="3"/>
      <c r="D782" s="3"/>
      <c r="E782" s="3"/>
      <c r="F782" s="20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>
      <c r="A783" s="3"/>
      <c r="B783" s="3"/>
      <c r="C783" s="3"/>
      <c r="D783" s="3"/>
      <c r="E783" s="3"/>
      <c r="F783" s="20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>
      <c r="A784" s="3"/>
      <c r="B784" s="3"/>
      <c r="C784" s="3"/>
      <c r="D784" s="3"/>
      <c r="E784" s="3"/>
      <c r="F784" s="20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>
      <c r="A785" s="3"/>
      <c r="B785" s="3"/>
      <c r="C785" s="3"/>
      <c r="D785" s="3"/>
      <c r="E785" s="3"/>
      <c r="F785" s="20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>
      <c r="A786" s="3"/>
      <c r="B786" s="3"/>
      <c r="C786" s="3"/>
      <c r="D786" s="3"/>
      <c r="E786" s="3"/>
      <c r="F786" s="20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>
      <c r="A787" s="3"/>
      <c r="B787" s="3"/>
      <c r="C787" s="3"/>
      <c r="D787" s="3"/>
      <c r="E787" s="3"/>
      <c r="F787" s="20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>
      <c r="A788" s="3"/>
      <c r="B788" s="3"/>
      <c r="C788" s="3"/>
      <c r="D788" s="3"/>
      <c r="E788" s="3"/>
      <c r="F788" s="20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>
      <c r="A789" s="3"/>
      <c r="B789" s="3"/>
      <c r="C789" s="3"/>
      <c r="D789" s="3"/>
      <c r="E789" s="3"/>
      <c r="F789" s="20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>
      <c r="A790" s="3"/>
      <c r="B790" s="3"/>
      <c r="C790" s="3"/>
      <c r="D790" s="3"/>
      <c r="E790" s="3"/>
      <c r="F790" s="20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>
      <c r="A791" s="3"/>
      <c r="B791" s="3"/>
      <c r="C791" s="3"/>
      <c r="D791" s="3"/>
      <c r="E791" s="3"/>
      <c r="F791" s="20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>
      <c r="A792" s="3"/>
      <c r="B792" s="3"/>
      <c r="C792" s="3"/>
      <c r="D792" s="3"/>
      <c r="E792" s="3"/>
      <c r="F792" s="20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>
      <c r="A793" s="3"/>
      <c r="B793" s="3"/>
      <c r="C793" s="3"/>
      <c r="D793" s="3"/>
      <c r="E793" s="3"/>
      <c r="F793" s="20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>
      <c r="A794" s="3"/>
      <c r="B794" s="3"/>
      <c r="C794" s="3"/>
      <c r="D794" s="3"/>
      <c r="E794" s="3"/>
      <c r="F794" s="20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>
      <c r="A795" s="3"/>
      <c r="B795" s="3"/>
      <c r="C795" s="3"/>
      <c r="D795" s="3"/>
      <c r="E795" s="3"/>
      <c r="F795" s="20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>
      <c r="A796" s="3"/>
      <c r="B796" s="3"/>
      <c r="C796" s="3"/>
      <c r="D796" s="3"/>
      <c r="E796" s="3"/>
      <c r="F796" s="20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>
      <c r="A797" s="3"/>
      <c r="B797" s="3"/>
      <c r="C797" s="3"/>
      <c r="D797" s="3"/>
      <c r="E797" s="3"/>
      <c r="F797" s="20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>
      <c r="A798" s="3"/>
      <c r="B798" s="3"/>
      <c r="C798" s="3"/>
      <c r="D798" s="3"/>
      <c r="E798" s="3"/>
      <c r="F798" s="20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>
      <c r="A799" s="3"/>
      <c r="B799" s="3"/>
      <c r="C799" s="3"/>
      <c r="D799" s="3"/>
      <c r="E799" s="3"/>
      <c r="F799" s="20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>
      <c r="A800" s="3"/>
      <c r="B800" s="3"/>
      <c r="C800" s="3"/>
      <c r="D800" s="3"/>
      <c r="E800" s="3"/>
      <c r="F800" s="20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>
      <c r="A801" s="3"/>
      <c r="B801" s="3"/>
      <c r="C801" s="3"/>
      <c r="D801" s="3"/>
      <c r="E801" s="3"/>
      <c r="F801" s="20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>
      <c r="A802" s="3"/>
      <c r="B802" s="3"/>
      <c r="C802" s="3"/>
      <c r="D802" s="3"/>
      <c r="E802" s="3"/>
      <c r="F802" s="20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>
      <c r="A803" s="3"/>
      <c r="B803" s="3"/>
      <c r="C803" s="3"/>
      <c r="D803" s="3"/>
      <c r="E803" s="3"/>
      <c r="F803" s="20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>
      <c r="A804" s="3"/>
      <c r="B804" s="3"/>
      <c r="C804" s="3"/>
      <c r="D804" s="3"/>
      <c r="E804" s="3"/>
      <c r="F804" s="20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>
      <c r="A805" s="3"/>
      <c r="B805" s="3"/>
      <c r="C805" s="3"/>
      <c r="D805" s="3"/>
      <c r="E805" s="3"/>
      <c r="F805" s="20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>
      <c r="A806" s="3"/>
      <c r="B806" s="3"/>
      <c r="C806" s="3"/>
      <c r="D806" s="3"/>
      <c r="E806" s="3"/>
      <c r="F806" s="20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>
      <c r="A807" s="3"/>
      <c r="B807" s="3"/>
      <c r="C807" s="3"/>
      <c r="D807" s="3"/>
      <c r="E807" s="3"/>
      <c r="F807" s="20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>
      <c r="A808" s="3"/>
      <c r="B808" s="3"/>
      <c r="C808" s="3"/>
      <c r="D808" s="3"/>
      <c r="E808" s="3"/>
      <c r="F808" s="20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>
      <c r="A809" s="3"/>
      <c r="B809" s="3"/>
      <c r="C809" s="3"/>
      <c r="D809" s="3"/>
      <c r="E809" s="3"/>
      <c r="F809" s="20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>
      <c r="A810" s="3"/>
      <c r="B810" s="3"/>
      <c r="C810" s="3"/>
      <c r="D810" s="3"/>
      <c r="E810" s="3"/>
      <c r="F810" s="20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>
      <c r="A811" s="3"/>
      <c r="B811" s="3"/>
      <c r="C811" s="3"/>
      <c r="D811" s="3"/>
      <c r="E811" s="3"/>
      <c r="F811" s="20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>
      <c r="A812" s="3"/>
      <c r="B812" s="3"/>
      <c r="C812" s="3"/>
      <c r="D812" s="3"/>
      <c r="E812" s="3"/>
      <c r="F812" s="20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>
      <c r="A813" s="3"/>
      <c r="B813" s="3"/>
      <c r="C813" s="3"/>
      <c r="D813" s="3"/>
      <c r="E813" s="3"/>
      <c r="F813" s="20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>
      <c r="A814" s="3"/>
      <c r="B814" s="3"/>
      <c r="C814" s="3"/>
      <c r="D814" s="3"/>
      <c r="E814" s="3"/>
      <c r="F814" s="20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>
      <c r="A815" s="3"/>
      <c r="B815" s="3"/>
      <c r="C815" s="3"/>
      <c r="D815" s="3"/>
      <c r="E815" s="3"/>
      <c r="F815" s="20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>
      <c r="A816" s="3"/>
      <c r="B816" s="3"/>
      <c r="C816" s="3"/>
      <c r="D816" s="3"/>
      <c r="E816" s="3"/>
      <c r="F816" s="20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>
      <c r="A817" s="3"/>
      <c r="B817" s="3"/>
      <c r="C817" s="3"/>
      <c r="D817" s="3"/>
      <c r="E817" s="3"/>
      <c r="F817" s="20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>
      <c r="A818" s="3"/>
      <c r="B818" s="3"/>
      <c r="C818" s="3"/>
      <c r="D818" s="3"/>
      <c r="E818" s="3"/>
      <c r="F818" s="20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>
      <c r="A819" s="3"/>
      <c r="B819" s="3"/>
      <c r="C819" s="3"/>
      <c r="D819" s="3"/>
      <c r="E819" s="3"/>
      <c r="F819" s="20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>
      <c r="A820" s="3"/>
      <c r="B820" s="3"/>
      <c r="C820" s="3"/>
      <c r="D820" s="3"/>
      <c r="E820" s="3"/>
      <c r="F820" s="20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>
      <c r="A821" s="3"/>
      <c r="B821" s="3"/>
      <c r="C821" s="3"/>
      <c r="D821" s="3"/>
      <c r="E821" s="3"/>
      <c r="F821" s="20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>
      <c r="A822" s="3"/>
      <c r="B822" s="3"/>
      <c r="C822" s="3"/>
      <c r="D822" s="3"/>
      <c r="E822" s="3"/>
      <c r="F822" s="20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>
      <c r="A823" s="3"/>
      <c r="B823" s="3"/>
      <c r="C823" s="3"/>
      <c r="D823" s="3"/>
      <c r="E823" s="3"/>
      <c r="F823" s="20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>
      <c r="A824" s="3"/>
      <c r="B824" s="3"/>
      <c r="C824" s="3"/>
      <c r="D824" s="3"/>
      <c r="E824" s="3"/>
      <c r="F824" s="20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>
      <c r="A825" s="3"/>
      <c r="B825" s="3"/>
      <c r="C825" s="3"/>
      <c r="D825" s="3"/>
      <c r="E825" s="3"/>
      <c r="F825" s="20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>
      <c r="A826" s="3"/>
      <c r="B826" s="3"/>
      <c r="C826" s="3"/>
      <c r="D826" s="3"/>
      <c r="E826" s="3"/>
      <c r="F826" s="20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>
      <c r="A827" s="3"/>
      <c r="B827" s="3"/>
      <c r="C827" s="3"/>
      <c r="D827" s="3"/>
      <c r="E827" s="3"/>
      <c r="F827" s="20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>
      <c r="A828" s="3"/>
      <c r="B828" s="3"/>
      <c r="C828" s="3"/>
      <c r="D828" s="3"/>
      <c r="E828" s="3"/>
      <c r="F828" s="20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>
      <c r="A829" s="3"/>
      <c r="B829" s="3"/>
      <c r="C829" s="3"/>
      <c r="D829" s="3"/>
      <c r="E829" s="3"/>
      <c r="F829" s="20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>
      <c r="A830" s="3"/>
      <c r="B830" s="3"/>
      <c r="C830" s="3"/>
      <c r="D830" s="3"/>
      <c r="E830" s="3"/>
      <c r="F830" s="20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>
      <c r="A831" s="3"/>
      <c r="B831" s="3"/>
      <c r="C831" s="3"/>
      <c r="D831" s="3"/>
      <c r="E831" s="3"/>
      <c r="F831" s="20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>
      <c r="A832" s="3"/>
      <c r="B832" s="3"/>
      <c r="C832" s="3"/>
      <c r="D832" s="3"/>
      <c r="E832" s="3"/>
      <c r="F832" s="20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>
      <c r="A833" s="3"/>
      <c r="B833" s="3"/>
      <c r="C833" s="3"/>
      <c r="D833" s="3"/>
      <c r="E833" s="3"/>
      <c r="F833" s="20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>
      <c r="A834" s="3"/>
      <c r="B834" s="3"/>
      <c r="C834" s="3"/>
      <c r="D834" s="3"/>
      <c r="E834" s="3"/>
      <c r="F834" s="20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>
      <c r="A835" s="3"/>
      <c r="B835" s="3"/>
      <c r="C835" s="3"/>
      <c r="D835" s="3"/>
      <c r="E835" s="3"/>
      <c r="F835" s="20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>
      <c r="A836" s="3"/>
      <c r="B836" s="3"/>
      <c r="C836" s="3"/>
      <c r="D836" s="3"/>
      <c r="E836" s="3"/>
      <c r="F836" s="20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>
      <c r="A837" s="3"/>
      <c r="B837" s="3"/>
      <c r="C837" s="3"/>
      <c r="D837" s="3"/>
      <c r="E837" s="3"/>
      <c r="F837" s="20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>
      <c r="A838" s="3"/>
      <c r="B838" s="3"/>
      <c r="C838" s="3"/>
      <c r="D838" s="3"/>
      <c r="E838" s="3"/>
      <c r="F838" s="20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>
      <c r="A839" s="3"/>
      <c r="B839" s="3"/>
      <c r="C839" s="3"/>
      <c r="D839" s="3"/>
      <c r="E839" s="3"/>
      <c r="F839" s="20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>
      <c r="A840" s="3"/>
      <c r="B840" s="3"/>
      <c r="C840" s="3"/>
      <c r="D840" s="3"/>
      <c r="E840" s="3"/>
      <c r="F840" s="20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>
      <c r="A841" s="3"/>
      <c r="B841" s="3"/>
      <c r="C841" s="3"/>
      <c r="D841" s="3"/>
      <c r="E841" s="3"/>
      <c r="F841" s="20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>
      <c r="A842" s="3"/>
      <c r="B842" s="3"/>
      <c r="C842" s="3"/>
      <c r="D842" s="3"/>
      <c r="E842" s="3"/>
      <c r="F842" s="20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>
      <c r="A843" s="3"/>
      <c r="B843" s="3"/>
      <c r="C843" s="3"/>
      <c r="D843" s="3"/>
      <c r="E843" s="3"/>
      <c r="F843" s="20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>
      <c r="A844" s="3"/>
      <c r="B844" s="3"/>
      <c r="C844" s="3"/>
      <c r="D844" s="3"/>
      <c r="E844" s="3"/>
      <c r="F844" s="20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>
      <c r="A845" s="3"/>
      <c r="B845" s="3"/>
      <c r="C845" s="3"/>
      <c r="D845" s="3"/>
      <c r="E845" s="3"/>
      <c r="F845" s="20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>
      <c r="A846" s="3"/>
      <c r="B846" s="3"/>
      <c r="C846" s="3"/>
      <c r="D846" s="3"/>
      <c r="E846" s="3"/>
      <c r="F846" s="20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>
      <c r="A847" s="3"/>
      <c r="B847" s="3"/>
      <c r="C847" s="3"/>
      <c r="D847" s="3"/>
      <c r="E847" s="3"/>
      <c r="F847" s="20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>
      <c r="A848" s="3"/>
      <c r="B848" s="3"/>
      <c r="C848" s="3"/>
      <c r="D848" s="3"/>
      <c r="E848" s="3"/>
      <c r="F848" s="20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>
      <c r="A849" s="3"/>
      <c r="B849" s="3"/>
      <c r="C849" s="3"/>
      <c r="D849" s="3"/>
      <c r="E849" s="3"/>
      <c r="F849" s="20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>
      <c r="A850" s="3"/>
      <c r="B850" s="3"/>
      <c r="C850" s="3"/>
      <c r="D850" s="3"/>
      <c r="E850" s="3"/>
      <c r="F850" s="20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>
      <c r="A851" s="3"/>
      <c r="B851" s="3"/>
      <c r="C851" s="3"/>
      <c r="D851" s="3"/>
      <c r="E851" s="3"/>
      <c r="F851" s="20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>
      <c r="A852" s="3"/>
      <c r="B852" s="3"/>
      <c r="C852" s="3"/>
      <c r="D852" s="3"/>
      <c r="E852" s="3"/>
      <c r="F852" s="20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>
      <c r="A853" s="3"/>
      <c r="B853" s="3"/>
      <c r="C853" s="3"/>
      <c r="D853" s="3"/>
      <c r="E853" s="3"/>
      <c r="F853" s="20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>
      <c r="A854" s="3"/>
      <c r="B854" s="3"/>
      <c r="C854" s="3"/>
      <c r="D854" s="3"/>
      <c r="E854" s="3"/>
      <c r="F854" s="20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>
      <c r="A855" s="3"/>
      <c r="B855" s="3"/>
      <c r="C855" s="3"/>
      <c r="D855" s="3"/>
      <c r="E855" s="3"/>
      <c r="F855" s="20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>
      <c r="A856" s="3"/>
      <c r="B856" s="3"/>
      <c r="C856" s="3"/>
      <c r="D856" s="3"/>
      <c r="E856" s="3"/>
      <c r="F856" s="20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>
      <c r="A857" s="3"/>
      <c r="B857" s="3"/>
      <c r="C857" s="3"/>
      <c r="D857" s="3"/>
      <c r="E857" s="3"/>
      <c r="F857" s="20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>
      <c r="A858" s="3"/>
      <c r="B858" s="3"/>
      <c r="C858" s="3"/>
      <c r="D858" s="3"/>
      <c r="E858" s="3"/>
      <c r="F858" s="20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>
      <c r="A859" s="3"/>
      <c r="B859" s="3"/>
      <c r="C859" s="3"/>
      <c r="D859" s="3"/>
      <c r="E859" s="3"/>
      <c r="F859" s="20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>
      <c r="A860" s="3"/>
      <c r="B860" s="3"/>
      <c r="C860" s="3"/>
      <c r="D860" s="3"/>
      <c r="E860" s="3"/>
      <c r="F860" s="20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>
      <c r="A861" s="3"/>
      <c r="B861" s="3"/>
      <c r="C861" s="3"/>
      <c r="D861" s="3"/>
      <c r="E861" s="3"/>
      <c r="F861" s="20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>
      <c r="A862" s="3"/>
      <c r="B862" s="3"/>
      <c r="C862" s="3"/>
      <c r="D862" s="3"/>
      <c r="E862" s="3"/>
      <c r="F862" s="20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>
      <c r="A863" s="3"/>
      <c r="B863" s="3"/>
      <c r="C863" s="3"/>
      <c r="D863" s="3"/>
      <c r="E863" s="3"/>
      <c r="F863" s="20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>
      <c r="A864" s="3"/>
      <c r="B864" s="3"/>
      <c r="C864" s="3"/>
      <c r="D864" s="3"/>
      <c r="E864" s="3"/>
      <c r="F864" s="20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>
      <c r="A865" s="3"/>
      <c r="B865" s="3"/>
      <c r="C865" s="3"/>
      <c r="D865" s="3"/>
      <c r="E865" s="3"/>
      <c r="F865" s="20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>
      <c r="A866" s="3"/>
      <c r="B866" s="3"/>
      <c r="C866" s="3"/>
      <c r="D866" s="3"/>
      <c r="E866" s="3"/>
      <c r="F866" s="20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>
      <c r="A867" s="3"/>
      <c r="B867" s="3"/>
      <c r="C867" s="3"/>
      <c r="D867" s="3"/>
      <c r="E867" s="3"/>
      <c r="F867" s="20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>
      <c r="A868" s="3"/>
      <c r="B868" s="3"/>
      <c r="C868" s="3"/>
      <c r="D868" s="3"/>
      <c r="E868" s="3"/>
      <c r="F868" s="20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>
      <c r="A869" s="3"/>
      <c r="B869" s="3"/>
      <c r="C869" s="3"/>
      <c r="D869" s="3"/>
      <c r="E869" s="3"/>
      <c r="F869" s="20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>
      <c r="A870" s="3"/>
      <c r="B870" s="3"/>
      <c r="C870" s="3"/>
      <c r="D870" s="3"/>
      <c r="E870" s="3"/>
      <c r="F870" s="20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>
      <c r="A871" s="3"/>
      <c r="B871" s="3"/>
      <c r="C871" s="3"/>
      <c r="D871" s="3"/>
      <c r="E871" s="3"/>
      <c r="F871" s="20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>
      <c r="A872" s="3"/>
      <c r="B872" s="3"/>
      <c r="C872" s="3"/>
      <c r="D872" s="3"/>
      <c r="E872" s="3"/>
      <c r="F872" s="20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>
      <c r="A873" s="3"/>
      <c r="B873" s="3"/>
      <c r="C873" s="3"/>
      <c r="D873" s="3"/>
      <c r="E873" s="3"/>
      <c r="F873" s="20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>
      <c r="A874" s="3"/>
      <c r="B874" s="3"/>
      <c r="C874" s="3"/>
      <c r="D874" s="3"/>
      <c r="E874" s="3"/>
      <c r="F874" s="20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>
      <c r="A875" s="3"/>
      <c r="B875" s="3"/>
      <c r="C875" s="3"/>
      <c r="D875" s="3"/>
      <c r="E875" s="3"/>
      <c r="F875" s="20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>
      <c r="A876" s="3"/>
      <c r="B876" s="3"/>
      <c r="C876" s="3"/>
      <c r="D876" s="3"/>
      <c r="E876" s="3"/>
      <c r="F876" s="20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>
      <c r="A877" s="3"/>
      <c r="B877" s="3"/>
      <c r="C877" s="3"/>
      <c r="D877" s="3"/>
      <c r="E877" s="3"/>
      <c r="F877" s="20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>
      <c r="A878" s="3"/>
      <c r="B878" s="3"/>
      <c r="C878" s="3"/>
      <c r="D878" s="3"/>
      <c r="E878" s="3"/>
      <c r="F878" s="20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>
      <c r="A879" s="3"/>
      <c r="B879" s="3"/>
      <c r="C879" s="3"/>
      <c r="D879" s="3"/>
      <c r="E879" s="3"/>
      <c r="F879" s="20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>
      <c r="A880" s="3"/>
      <c r="B880" s="3"/>
      <c r="C880" s="3"/>
      <c r="D880" s="3"/>
      <c r="E880" s="3"/>
      <c r="F880" s="20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>
      <c r="A881" s="3"/>
      <c r="B881" s="3"/>
      <c r="C881" s="3"/>
      <c r="D881" s="3"/>
      <c r="E881" s="3"/>
      <c r="F881" s="20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>
      <c r="A882" s="3"/>
      <c r="B882" s="3"/>
      <c r="C882" s="3"/>
      <c r="D882" s="3"/>
      <c r="E882" s="3"/>
      <c r="F882" s="20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>
      <c r="A883" s="3"/>
      <c r="B883" s="3"/>
      <c r="C883" s="3"/>
      <c r="D883" s="3"/>
      <c r="E883" s="3"/>
      <c r="F883" s="20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>
      <c r="A884" s="3"/>
      <c r="B884" s="3"/>
      <c r="C884" s="3"/>
      <c r="D884" s="3"/>
      <c r="E884" s="3"/>
      <c r="F884" s="20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>
      <c r="A885" s="3"/>
      <c r="B885" s="3"/>
      <c r="C885" s="3"/>
      <c r="D885" s="3"/>
      <c r="E885" s="3"/>
      <c r="F885" s="20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>
      <c r="A886" s="3"/>
      <c r="B886" s="3"/>
      <c r="C886" s="3"/>
      <c r="D886" s="3"/>
      <c r="E886" s="3"/>
      <c r="F886" s="20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>
      <c r="A887" s="3"/>
      <c r="B887" s="3"/>
      <c r="C887" s="3"/>
      <c r="D887" s="3"/>
      <c r="E887" s="3"/>
      <c r="F887" s="20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>
      <c r="A888" s="3"/>
      <c r="B888" s="3"/>
      <c r="C888" s="3"/>
      <c r="D888" s="3"/>
      <c r="E888" s="3"/>
      <c r="F888" s="20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>
      <c r="A889" s="3"/>
      <c r="B889" s="3"/>
      <c r="C889" s="3"/>
      <c r="D889" s="3"/>
      <c r="E889" s="3"/>
      <c r="F889" s="20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>
      <c r="A890" s="3"/>
      <c r="B890" s="3"/>
      <c r="C890" s="3"/>
      <c r="D890" s="3"/>
      <c r="E890" s="3"/>
      <c r="F890" s="20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>
      <c r="A891" s="3"/>
      <c r="B891" s="3"/>
      <c r="C891" s="3"/>
      <c r="D891" s="3"/>
      <c r="E891" s="3"/>
      <c r="F891" s="20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>
      <c r="A892" s="3"/>
      <c r="B892" s="3"/>
      <c r="C892" s="3"/>
      <c r="D892" s="3"/>
      <c r="E892" s="3"/>
      <c r="F892" s="20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>
      <c r="A893" s="3"/>
      <c r="B893" s="3"/>
      <c r="C893" s="3"/>
      <c r="D893" s="3"/>
      <c r="E893" s="3"/>
      <c r="F893" s="20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>
      <c r="A894" s="3"/>
      <c r="B894" s="3"/>
      <c r="C894" s="3"/>
      <c r="D894" s="3"/>
      <c r="E894" s="3"/>
      <c r="F894" s="20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>
      <c r="A895" s="3"/>
      <c r="B895" s="3"/>
      <c r="C895" s="3"/>
      <c r="D895" s="3"/>
      <c r="E895" s="3"/>
      <c r="F895" s="20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>
      <c r="A896" s="3"/>
      <c r="B896" s="3"/>
      <c r="C896" s="3"/>
      <c r="D896" s="3"/>
      <c r="E896" s="3"/>
      <c r="F896" s="20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>
      <c r="A897" s="3"/>
      <c r="B897" s="3"/>
      <c r="C897" s="3"/>
      <c r="D897" s="3"/>
      <c r="E897" s="3"/>
      <c r="F897" s="20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>
      <c r="A898" s="3"/>
      <c r="B898" s="3"/>
      <c r="C898" s="3"/>
      <c r="D898" s="3"/>
      <c r="E898" s="3"/>
      <c r="F898" s="20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>
      <c r="A899" s="3"/>
      <c r="B899" s="3"/>
      <c r="C899" s="3"/>
      <c r="D899" s="3"/>
      <c r="E899" s="3"/>
      <c r="F899" s="20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>
      <c r="A900" s="3"/>
      <c r="B900" s="3"/>
      <c r="C900" s="3"/>
      <c r="D900" s="3"/>
      <c r="E900" s="3"/>
      <c r="F900" s="20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>
      <c r="A901" s="3"/>
      <c r="B901" s="3"/>
      <c r="C901" s="3"/>
      <c r="D901" s="3"/>
      <c r="E901" s="3"/>
      <c r="F901" s="20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>
      <c r="A902" s="3"/>
      <c r="B902" s="3"/>
      <c r="C902" s="3"/>
      <c r="D902" s="3"/>
      <c r="E902" s="3"/>
      <c r="F902" s="20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>
      <c r="A903" s="3"/>
      <c r="B903" s="3"/>
      <c r="C903" s="3"/>
      <c r="D903" s="3"/>
      <c r="E903" s="3"/>
      <c r="F903" s="20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>
      <c r="A904" s="3"/>
      <c r="B904" s="3"/>
      <c r="C904" s="3"/>
      <c r="D904" s="3"/>
      <c r="E904" s="3"/>
      <c r="F904" s="20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>
      <c r="A905" s="3"/>
      <c r="B905" s="3"/>
      <c r="C905" s="3"/>
      <c r="D905" s="3"/>
      <c r="E905" s="3"/>
      <c r="F905" s="20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>
      <c r="A906" s="3"/>
      <c r="B906" s="3"/>
      <c r="C906" s="3"/>
      <c r="D906" s="3"/>
      <c r="E906" s="3"/>
      <c r="F906" s="20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>
      <c r="A907" s="3"/>
      <c r="B907" s="3"/>
      <c r="C907" s="3"/>
      <c r="D907" s="3"/>
      <c r="E907" s="3"/>
      <c r="F907" s="20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>
      <c r="A908" s="3"/>
      <c r="B908" s="3"/>
      <c r="C908" s="3"/>
      <c r="D908" s="3"/>
      <c r="E908" s="3"/>
      <c r="F908" s="20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>
      <c r="A909" s="3"/>
      <c r="B909" s="3"/>
      <c r="C909" s="3"/>
      <c r="D909" s="3"/>
      <c r="E909" s="3"/>
      <c r="F909" s="20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>
      <c r="A910" s="3"/>
      <c r="B910" s="3"/>
      <c r="C910" s="3"/>
      <c r="D910" s="3"/>
      <c r="E910" s="3"/>
      <c r="F910" s="20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>
      <c r="A911" s="3"/>
      <c r="B911" s="3"/>
      <c r="C911" s="3"/>
      <c r="D911" s="3"/>
      <c r="E911" s="3"/>
      <c r="F911" s="20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>
      <c r="A912" s="3"/>
      <c r="B912" s="3"/>
      <c r="C912" s="3"/>
      <c r="D912" s="3"/>
      <c r="E912" s="3"/>
      <c r="F912" s="20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>
      <c r="A913" s="3"/>
      <c r="B913" s="3"/>
      <c r="C913" s="3"/>
      <c r="D913" s="3"/>
      <c r="E913" s="3"/>
      <c r="F913" s="20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>
      <c r="A914" s="3"/>
      <c r="B914" s="3"/>
      <c r="C914" s="3"/>
      <c r="D914" s="3"/>
      <c r="E914" s="3"/>
      <c r="F914" s="20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>
      <c r="A915" s="3"/>
      <c r="B915" s="3"/>
      <c r="C915" s="3"/>
      <c r="D915" s="3"/>
      <c r="E915" s="3"/>
      <c r="F915" s="20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>
      <c r="A916" s="3"/>
      <c r="B916" s="3"/>
      <c r="C916" s="3"/>
      <c r="D916" s="3"/>
      <c r="E916" s="3"/>
      <c r="F916" s="20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>
      <c r="A917" s="3"/>
      <c r="B917" s="3"/>
      <c r="C917" s="3"/>
      <c r="D917" s="3"/>
      <c r="E917" s="3"/>
      <c r="F917" s="20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>
      <c r="A918" s="3"/>
      <c r="B918" s="3"/>
      <c r="C918" s="3"/>
      <c r="D918" s="3"/>
      <c r="E918" s="3"/>
      <c r="F918" s="20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>
      <c r="A919" s="3"/>
      <c r="B919" s="3"/>
      <c r="C919" s="3"/>
      <c r="D919" s="3"/>
      <c r="E919" s="3"/>
      <c r="F919" s="20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>
      <c r="A920" s="3"/>
      <c r="B920" s="3"/>
      <c r="C920" s="3"/>
      <c r="D920" s="3"/>
      <c r="E920" s="3"/>
      <c r="F920" s="20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>
      <c r="A921" s="3"/>
      <c r="B921" s="3"/>
      <c r="C921" s="3"/>
      <c r="D921" s="3"/>
      <c r="E921" s="3"/>
      <c r="F921" s="20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>
      <c r="A922" s="3"/>
      <c r="B922" s="3"/>
      <c r="C922" s="3"/>
      <c r="D922" s="3"/>
      <c r="E922" s="3"/>
      <c r="F922" s="20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>
      <c r="A923" s="3"/>
      <c r="B923" s="3"/>
      <c r="C923" s="3"/>
      <c r="D923" s="3"/>
      <c r="E923" s="3"/>
      <c r="F923" s="20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>
      <c r="A924" s="3"/>
      <c r="B924" s="3"/>
      <c r="C924" s="3"/>
      <c r="D924" s="3"/>
      <c r="E924" s="3"/>
      <c r="F924" s="20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>
      <c r="A925" s="3"/>
      <c r="B925" s="3"/>
      <c r="C925" s="3"/>
      <c r="D925" s="3"/>
      <c r="E925" s="3"/>
      <c r="F925" s="20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>
      <c r="A926" s="3"/>
      <c r="B926" s="3"/>
      <c r="C926" s="3"/>
      <c r="D926" s="3"/>
      <c r="E926" s="3"/>
      <c r="F926" s="20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>
      <c r="A927" s="3"/>
      <c r="B927" s="3"/>
      <c r="C927" s="3"/>
      <c r="D927" s="3"/>
      <c r="E927" s="3"/>
      <c r="F927" s="20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>
      <c r="A928" s="3"/>
      <c r="B928" s="3"/>
      <c r="C928" s="3"/>
      <c r="D928" s="3"/>
      <c r="E928" s="3"/>
      <c r="F928" s="20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>
      <c r="A929" s="3"/>
      <c r="B929" s="3"/>
      <c r="C929" s="3"/>
      <c r="D929" s="3"/>
      <c r="E929" s="3"/>
      <c r="F929" s="20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>
      <c r="A930" s="3"/>
      <c r="B930" s="3"/>
      <c r="C930" s="3"/>
      <c r="D930" s="3"/>
      <c r="E930" s="3"/>
      <c r="F930" s="20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>
      <c r="A931" s="3"/>
      <c r="B931" s="3"/>
      <c r="C931" s="3"/>
      <c r="D931" s="3"/>
      <c r="E931" s="3"/>
      <c r="F931" s="20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>
      <c r="A932" s="3"/>
      <c r="B932" s="3"/>
      <c r="C932" s="3"/>
      <c r="D932" s="3"/>
      <c r="E932" s="3"/>
      <c r="F932" s="20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>
      <c r="A933" s="3"/>
      <c r="B933" s="3"/>
      <c r="C933" s="3"/>
      <c r="D933" s="3"/>
      <c r="E933" s="3"/>
      <c r="F933" s="20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>
      <c r="A934" s="3"/>
      <c r="B934" s="3"/>
      <c r="C934" s="3"/>
      <c r="D934" s="3"/>
      <c r="E934" s="3"/>
      <c r="F934" s="20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>
      <c r="A935" s="3"/>
      <c r="B935" s="3"/>
      <c r="C935" s="3"/>
      <c r="D935" s="3"/>
      <c r="E935" s="3"/>
      <c r="F935" s="20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>
      <c r="A936" s="3"/>
      <c r="B936" s="3"/>
      <c r="C936" s="3"/>
      <c r="D936" s="3"/>
      <c r="E936" s="3"/>
      <c r="F936" s="20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>
      <c r="A937" s="3"/>
      <c r="B937" s="3"/>
      <c r="C937" s="3"/>
      <c r="D937" s="3"/>
      <c r="E937" s="3"/>
      <c r="F937" s="20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>
      <c r="A938" s="3"/>
      <c r="B938" s="3"/>
      <c r="C938" s="3"/>
      <c r="D938" s="3"/>
      <c r="E938" s="3"/>
      <c r="F938" s="20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>
      <c r="A939" s="3"/>
      <c r="B939" s="3"/>
      <c r="C939" s="3"/>
      <c r="D939" s="3"/>
      <c r="E939" s="3"/>
      <c r="F939" s="20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>
      <c r="A940" s="3"/>
      <c r="B940" s="3"/>
      <c r="C940" s="3"/>
      <c r="D940" s="3"/>
      <c r="E940" s="3"/>
      <c r="F940" s="20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>
      <c r="A941" s="3"/>
      <c r="B941" s="3"/>
      <c r="C941" s="3"/>
      <c r="D941" s="3"/>
      <c r="E941" s="3"/>
      <c r="F941" s="20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>
      <c r="A942" s="3"/>
      <c r="B942" s="3"/>
      <c r="C942" s="3"/>
      <c r="D942" s="3"/>
      <c r="E942" s="3"/>
      <c r="F942" s="20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>
      <c r="A943" s="3"/>
      <c r="B943" s="3"/>
      <c r="C943" s="3"/>
      <c r="D943" s="3"/>
      <c r="E943" s="3"/>
      <c r="F943" s="20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>
      <c r="A944" s="3"/>
      <c r="B944" s="3"/>
      <c r="C944" s="3"/>
      <c r="D944" s="3"/>
      <c r="E944" s="3"/>
      <c r="F944" s="20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>
      <c r="A945" s="3"/>
      <c r="B945" s="3"/>
      <c r="C945" s="3"/>
      <c r="D945" s="3"/>
      <c r="E945" s="3"/>
      <c r="F945" s="20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>
      <c r="A946" s="3"/>
      <c r="B946" s="3"/>
      <c r="C946" s="3"/>
      <c r="D946" s="3"/>
      <c r="E946" s="3"/>
      <c r="F946" s="20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>
      <c r="A947" s="3"/>
      <c r="B947" s="3"/>
      <c r="C947" s="3"/>
      <c r="D947" s="3"/>
      <c r="E947" s="3"/>
      <c r="F947" s="20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>
      <c r="A948" s="3"/>
      <c r="B948" s="3"/>
      <c r="C948" s="3"/>
      <c r="D948" s="3"/>
      <c r="E948" s="3"/>
      <c r="F948" s="20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>
      <c r="A949" s="3"/>
      <c r="B949" s="3"/>
      <c r="C949" s="3"/>
      <c r="D949" s="3"/>
      <c r="E949" s="3"/>
      <c r="F949" s="20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>
      <c r="A950" s="3"/>
      <c r="B950" s="3"/>
      <c r="C950" s="3"/>
      <c r="D950" s="3"/>
      <c r="E950" s="3"/>
      <c r="F950" s="20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>
      <c r="A951" s="3"/>
      <c r="B951" s="3"/>
      <c r="C951" s="3"/>
      <c r="D951" s="3"/>
      <c r="E951" s="3"/>
      <c r="F951" s="20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>
      <c r="A952" s="3"/>
      <c r="B952" s="3"/>
      <c r="C952" s="3"/>
      <c r="D952" s="3"/>
      <c r="E952" s="3"/>
      <c r="F952" s="20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>
      <c r="A953" s="3"/>
      <c r="B953" s="3"/>
      <c r="C953" s="3"/>
      <c r="D953" s="3"/>
      <c r="E953" s="3"/>
      <c r="F953" s="20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>
      <c r="A954" s="3"/>
      <c r="B954" s="3"/>
      <c r="C954" s="3"/>
      <c r="D954" s="3"/>
      <c r="E954" s="3"/>
      <c r="F954" s="20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>
      <c r="A955" s="3"/>
      <c r="B955" s="3"/>
      <c r="C955" s="3"/>
      <c r="D955" s="3"/>
      <c r="E955" s="3"/>
      <c r="F955" s="20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>
      <c r="A956" s="3"/>
      <c r="B956" s="3"/>
      <c r="C956" s="3"/>
      <c r="D956" s="3"/>
      <c r="E956" s="3"/>
      <c r="F956" s="20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>
      <c r="A957" s="3"/>
      <c r="B957" s="3"/>
      <c r="C957" s="3"/>
      <c r="D957" s="3"/>
      <c r="E957" s="3"/>
      <c r="F957" s="20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>
      <c r="A958" s="3"/>
      <c r="B958" s="3"/>
      <c r="C958" s="3"/>
      <c r="D958" s="3"/>
      <c r="E958" s="3"/>
      <c r="F958" s="20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>
      <c r="A959" s="3"/>
      <c r="B959" s="3"/>
      <c r="C959" s="3"/>
      <c r="D959" s="3"/>
      <c r="E959" s="3"/>
      <c r="F959" s="20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>
      <c r="A960" s="3"/>
      <c r="B960" s="3"/>
      <c r="C960" s="3"/>
      <c r="D960" s="3"/>
      <c r="E960" s="3"/>
      <c r="F960" s="20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>
      <c r="A961" s="3"/>
      <c r="B961" s="3"/>
      <c r="C961" s="3"/>
      <c r="D961" s="3"/>
      <c r="E961" s="3"/>
      <c r="F961" s="20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>
      <c r="A962" s="3"/>
      <c r="B962" s="3"/>
      <c r="C962" s="3"/>
      <c r="D962" s="3"/>
      <c r="E962" s="3"/>
      <c r="F962" s="20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>
      <c r="A963" s="3"/>
      <c r="B963" s="3"/>
      <c r="C963" s="3"/>
      <c r="D963" s="3"/>
      <c r="E963" s="3"/>
      <c r="F963" s="20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>
      <c r="A964" s="3"/>
      <c r="B964" s="3"/>
      <c r="C964" s="3"/>
      <c r="D964" s="3"/>
      <c r="E964" s="3"/>
      <c r="F964" s="20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>
      <c r="A965" s="3"/>
      <c r="B965" s="3"/>
      <c r="C965" s="3"/>
      <c r="D965" s="3"/>
      <c r="E965" s="3"/>
      <c r="F965" s="20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>
      <c r="A966" s="3"/>
      <c r="B966" s="3"/>
      <c r="C966" s="3"/>
      <c r="D966" s="3"/>
      <c r="E966" s="3"/>
      <c r="F966" s="20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>
      <c r="A967" s="3"/>
      <c r="B967" s="3"/>
      <c r="C967" s="3"/>
      <c r="D967" s="3"/>
      <c r="E967" s="3"/>
      <c r="F967" s="20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>
      <c r="A968" s="3"/>
      <c r="B968" s="3"/>
      <c r="C968" s="3"/>
      <c r="D968" s="3"/>
      <c r="E968" s="3"/>
      <c r="F968" s="20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>
      <c r="A969" s="3"/>
      <c r="B969" s="3"/>
      <c r="C969" s="3"/>
      <c r="D969" s="3"/>
      <c r="E969" s="3"/>
      <c r="F969" s="20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>
      <c r="A970" s="3"/>
      <c r="B970" s="3"/>
      <c r="C970" s="3"/>
      <c r="D970" s="3"/>
      <c r="E970" s="3"/>
      <c r="F970" s="20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>
      <c r="A971" s="3"/>
      <c r="B971" s="3"/>
      <c r="C971" s="3"/>
      <c r="D971" s="3"/>
      <c r="E971" s="3"/>
      <c r="F971" s="20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>
      <c r="A972" s="3"/>
      <c r="B972" s="3"/>
      <c r="C972" s="3"/>
      <c r="D972" s="3"/>
      <c r="E972" s="3"/>
      <c r="F972" s="20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>
      <c r="A973" s="3"/>
      <c r="B973" s="3"/>
      <c r="C973" s="3"/>
      <c r="D973" s="3"/>
      <c r="E973" s="3"/>
      <c r="F973" s="20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>
      <c r="A974" s="3"/>
      <c r="B974" s="3"/>
      <c r="C974" s="3"/>
      <c r="D974" s="3"/>
      <c r="E974" s="3"/>
      <c r="F974" s="20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>
      <c r="A975" s="3"/>
      <c r="B975" s="3"/>
      <c r="C975" s="3"/>
      <c r="D975" s="3"/>
      <c r="E975" s="3"/>
      <c r="F975" s="20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>
      <c r="A976" s="3"/>
      <c r="B976" s="3"/>
      <c r="C976" s="3"/>
      <c r="D976" s="3"/>
      <c r="E976" s="3"/>
      <c r="F976" s="20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>
      <c r="A977" s="3"/>
      <c r="B977" s="3"/>
      <c r="C977" s="3"/>
      <c r="D977" s="3"/>
      <c r="E977" s="3"/>
      <c r="F977" s="20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>
      <c r="A978" s="3"/>
      <c r="B978" s="3"/>
      <c r="C978" s="3"/>
      <c r="D978" s="3"/>
      <c r="E978" s="3"/>
      <c r="F978" s="20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>
      <c r="A979" s="3"/>
      <c r="B979" s="3"/>
      <c r="C979" s="3"/>
      <c r="D979" s="3"/>
      <c r="E979" s="3"/>
      <c r="F979" s="20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>
      <c r="A980" s="3"/>
      <c r="B980" s="3"/>
      <c r="C980" s="3"/>
      <c r="D980" s="3"/>
      <c r="E980" s="3"/>
      <c r="F980" s="20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>
      <c r="A981" s="3"/>
      <c r="B981" s="3"/>
      <c r="C981" s="3"/>
      <c r="D981" s="3"/>
      <c r="E981" s="3"/>
      <c r="F981" s="20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>
      <c r="A982" s="3"/>
      <c r="B982" s="3"/>
      <c r="C982" s="3"/>
      <c r="D982" s="3"/>
      <c r="E982" s="3"/>
      <c r="F982" s="20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>
      <c r="A983" s="3"/>
      <c r="B983" s="3"/>
      <c r="C983" s="3"/>
      <c r="D983" s="3"/>
      <c r="E983" s="3"/>
      <c r="F983" s="20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>
      <c r="A984" s="3"/>
      <c r="B984" s="3"/>
      <c r="C984" s="3"/>
      <c r="D984" s="3"/>
      <c r="E984" s="3"/>
      <c r="F984" s="20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>
      <c r="A985" s="3"/>
      <c r="B985" s="3"/>
      <c r="C985" s="3"/>
      <c r="D985" s="3"/>
      <c r="E985" s="3"/>
      <c r="F985" s="20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</sheetData>
  <mergeCells count="13">
    <mergeCell ref="AB3:AH3"/>
    <mergeCell ref="AI3:AO3"/>
    <mergeCell ref="AP3:AV3"/>
    <mergeCell ref="AW3:BC3"/>
    <mergeCell ref="BD3:BJ3"/>
    <mergeCell ref="BK3:BQ3"/>
    <mergeCell ref="B2:F3"/>
    <mergeCell ref="G2:O2"/>
    <mergeCell ref="P2:AT2"/>
    <mergeCell ref="AU2:BQ2"/>
    <mergeCell ref="G3:M3"/>
    <mergeCell ref="N3:T3"/>
    <mergeCell ref="U3:AA3"/>
  </mergeCells>
  <conditionalFormatting sqref="AW50">
    <cfRule type="expression" dxfId="1" priority="1">
      <formula>AX$4&lt;TODAY()</formula>
    </cfRule>
  </conditionalFormatting>
  <conditionalFormatting sqref="G5:BQ64">
    <cfRule type="cellIs" dxfId="2" priority="2" operator="equal">
      <formula>1</formula>
    </cfRule>
  </conditionalFormatting>
  <conditionalFormatting sqref="G5:BQ64">
    <cfRule type="expression" dxfId="1" priority="3">
      <formula>G$4&lt;TODAY()</formula>
    </cfRule>
  </conditionalFormatting>
  <dataValidations>
    <dataValidation type="list" allowBlank="1" showDropDown="1" showErrorMessage="1" sqref="G5:BQ8 G9:AH9 BE9:BQ9 G10:BQ11 G12:AN12 BQ12 G13:BQ15 G16:AV16 BO16:BQ16 G17:BQ20 G21:AU21 BK21:BQ21 G22:BQ22 G23:AH23 AK23:BQ23 G24:BQ64">
      <formula1>"0,1"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.5"/>
    <col customWidth="1" min="2" max="2" width="2.75"/>
    <col customWidth="1" min="3" max="3" width="12.0"/>
    <col customWidth="1" min="4" max="4" width="26.88"/>
    <col customWidth="1" min="5" max="5" width="10.13"/>
    <col customWidth="1" min="6" max="34" width="2.75"/>
    <col customWidth="1" min="35" max="35" width="5.5"/>
    <col customWidth="1" min="36" max="36" width="2.75"/>
    <col customWidth="1" min="37" max="37" width="5.5"/>
    <col customWidth="1" min="38" max="38" width="2.75"/>
    <col customWidth="1" min="39" max="39" width="67.5"/>
    <col customWidth="1" min="40" max="40" width="10.75"/>
    <col customWidth="1" min="41" max="42" width="13.13"/>
    <col customWidth="1" hidden="1" min="43" max="55" width="2.75"/>
  </cols>
  <sheetData>
    <row r="1" ht="27.75" customHeight="1">
      <c r="A1" s="3"/>
      <c r="B1" s="5"/>
      <c r="C1" s="5"/>
      <c r="D1" s="5"/>
      <c r="E1" s="7"/>
      <c r="F1" s="9" t="s">
        <v>1</v>
      </c>
      <c r="G1" s="11"/>
      <c r="H1" s="11"/>
      <c r="I1" s="11"/>
      <c r="J1" s="11"/>
      <c r="K1" s="11"/>
      <c r="L1" s="11"/>
      <c r="M1" s="11"/>
      <c r="N1" s="13"/>
      <c r="O1" s="15"/>
      <c r="P1" s="18" t="s">
        <v>5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20"/>
      <c r="AH1" s="22"/>
      <c r="AI1" s="5"/>
      <c r="AJ1" s="3"/>
      <c r="AK1" s="3"/>
      <c r="AL1" s="3"/>
      <c r="AM1" s="3"/>
      <c r="AN1" s="3"/>
      <c r="AO1" s="3"/>
      <c r="AP1" s="3"/>
      <c r="AQ1" s="23"/>
      <c r="AR1" s="23"/>
      <c r="AS1" s="23"/>
      <c r="AT1" s="23"/>
      <c r="AU1" s="24" t="s">
        <v>14</v>
      </c>
      <c r="AV1" s="23"/>
      <c r="AW1" s="23"/>
      <c r="AX1" s="23"/>
      <c r="AY1" s="23"/>
      <c r="AZ1" s="23"/>
      <c r="BA1" s="23"/>
      <c r="BB1" s="23"/>
      <c r="BC1" s="23"/>
    </row>
    <row r="2" ht="60.0" customHeight="1">
      <c r="A2" s="25"/>
      <c r="B2" s="25"/>
      <c r="C2" s="25"/>
      <c r="D2" s="25"/>
      <c r="E2" s="25"/>
      <c r="F2" s="26" t="s">
        <v>19</v>
      </c>
      <c r="G2" s="27" t="s">
        <v>22</v>
      </c>
      <c r="H2" s="28" t="s">
        <v>25</v>
      </c>
      <c r="I2" s="27" t="s">
        <v>26</v>
      </c>
      <c r="J2" s="28" t="s">
        <v>27</v>
      </c>
      <c r="K2" s="27" t="s">
        <v>29</v>
      </c>
      <c r="L2" s="28" t="s">
        <v>30</v>
      </c>
      <c r="M2" s="27" t="s">
        <v>32</v>
      </c>
      <c r="N2" s="31" t="s">
        <v>34</v>
      </c>
      <c r="O2" s="15"/>
      <c r="P2" s="33" t="s">
        <v>36</v>
      </c>
      <c r="Q2" s="34" t="s">
        <v>39</v>
      </c>
      <c r="R2" s="33" t="s">
        <v>36</v>
      </c>
      <c r="S2" s="34" t="s">
        <v>39</v>
      </c>
      <c r="T2" s="33" t="s">
        <v>36</v>
      </c>
      <c r="U2" s="35" t="s">
        <v>39</v>
      </c>
      <c r="V2" s="36" t="s">
        <v>36</v>
      </c>
      <c r="W2" s="34" t="s">
        <v>39</v>
      </c>
      <c r="X2" s="33" t="s">
        <v>36</v>
      </c>
      <c r="Y2" s="34" t="s">
        <v>39</v>
      </c>
      <c r="Z2" s="33" t="s">
        <v>36</v>
      </c>
      <c r="AA2" s="34" t="s">
        <v>39</v>
      </c>
      <c r="AB2" s="33" t="s">
        <v>36</v>
      </c>
      <c r="AC2" s="35" t="s">
        <v>39</v>
      </c>
      <c r="AD2" s="36" t="s">
        <v>36</v>
      </c>
      <c r="AE2" s="34" t="s">
        <v>39</v>
      </c>
      <c r="AF2" s="33" t="s">
        <v>36</v>
      </c>
      <c r="AG2" s="38" t="s">
        <v>39</v>
      </c>
      <c r="AH2" s="15"/>
      <c r="AI2" s="40" t="s">
        <v>48</v>
      </c>
      <c r="AJ2" s="22"/>
      <c r="AK2" s="40" t="s">
        <v>49</v>
      </c>
      <c r="AL2" s="22"/>
      <c r="AM2" s="5"/>
      <c r="AN2" s="5"/>
      <c r="AO2" s="5"/>
      <c r="AP2" s="5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>
      <c r="A3" s="3"/>
      <c r="B3" s="44"/>
      <c r="C3" s="46" t="s">
        <v>50</v>
      </c>
      <c r="D3" s="46" t="s">
        <v>51</v>
      </c>
      <c r="E3" s="49" t="s">
        <v>52</v>
      </c>
      <c r="F3" s="50" t="s">
        <v>0</v>
      </c>
      <c r="G3" s="52" t="s">
        <v>2</v>
      </c>
      <c r="H3" s="52" t="s">
        <v>4</v>
      </c>
      <c r="I3" s="52" t="s">
        <v>6</v>
      </c>
      <c r="J3" s="52" t="s">
        <v>9</v>
      </c>
      <c r="K3" s="52" t="s">
        <v>10</v>
      </c>
      <c r="L3" s="52" t="s">
        <v>13</v>
      </c>
      <c r="M3" s="52" t="s">
        <v>17</v>
      </c>
      <c r="N3" s="54" t="s">
        <v>21</v>
      </c>
      <c r="O3" s="15"/>
      <c r="P3" s="56" t="s">
        <v>7</v>
      </c>
      <c r="Q3" s="58" t="s">
        <v>8</v>
      </c>
      <c r="R3" s="60" t="s">
        <v>11</v>
      </c>
      <c r="S3" s="58" t="s">
        <v>12</v>
      </c>
      <c r="T3" s="60" t="s">
        <v>15</v>
      </c>
      <c r="U3" s="58" t="s">
        <v>16</v>
      </c>
      <c r="V3" s="60" t="s">
        <v>18</v>
      </c>
      <c r="W3" s="58" t="s">
        <v>20</v>
      </c>
      <c r="X3" s="60" t="s">
        <v>23</v>
      </c>
      <c r="Y3" s="58" t="s">
        <v>24</v>
      </c>
      <c r="Z3" s="60" t="s">
        <v>31</v>
      </c>
      <c r="AA3" s="58" t="s">
        <v>33</v>
      </c>
      <c r="AB3" s="60" t="s">
        <v>37</v>
      </c>
      <c r="AC3" s="58" t="s">
        <v>38</v>
      </c>
      <c r="AD3" s="60" t="s">
        <v>40</v>
      </c>
      <c r="AE3" s="58" t="s">
        <v>41</v>
      </c>
      <c r="AF3" s="60" t="s">
        <v>43</v>
      </c>
      <c r="AG3" s="63" t="s">
        <v>44</v>
      </c>
      <c r="AH3" s="15"/>
      <c r="AI3" s="65" t="s">
        <v>45</v>
      </c>
      <c r="AJ3" s="15"/>
      <c r="AK3" s="65" t="s">
        <v>46</v>
      </c>
      <c r="AL3" s="15"/>
      <c r="AM3" s="68" t="s">
        <v>53</v>
      </c>
      <c r="AN3" s="70" t="s">
        <v>56</v>
      </c>
      <c r="AO3" s="73" t="s">
        <v>54</v>
      </c>
      <c r="AP3" s="75" t="s">
        <v>55</v>
      </c>
      <c r="AQ3" s="23"/>
      <c r="AR3" s="23"/>
      <c r="AS3" s="23"/>
      <c r="AT3" s="23"/>
      <c r="AU3" s="24" t="s">
        <v>53</v>
      </c>
      <c r="AV3" s="23"/>
      <c r="AW3" s="23"/>
      <c r="AX3" s="23"/>
      <c r="AY3" s="23"/>
      <c r="AZ3" s="23"/>
      <c r="BA3" s="23"/>
      <c r="BB3" s="23"/>
      <c r="BC3" s="23"/>
    </row>
    <row r="4" ht="15.0" customHeight="1">
      <c r="A4" s="3" t="str">
        <f>'D2'!D4</f>
        <v>ESC.LID-0209</v>
      </c>
      <c r="B4" s="78">
        <v>1.0</v>
      </c>
      <c r="C4" s="79" t="str">
        <f>'D2'!C4</f>
        <v>AUDI ESTELA SAHUANAY HUISACAYNA</v>
      </c>
      <c r="D4" s="80" t="str">
        <f>'D2'!F4</f>
        <v>ALVA PATRÓN, ISAÍAS SAID</v>
      </c>
      <c r="E4" s="82" t="str">
        <f>'D2'!G4</f>
        <v>72066954</v>
      </c>
      <c r="F4" s="84">
        <v>1.0</v>
      </c>
      <c r="G4" s="85">
        <v>3.0</v>
      </c>
      <c r="H4" s="85">
        <v>2.0</v>
      </c>
      <c r="I4" s="85">
        <v>1.0</v>
      </c>
      <c r="J4" s="85"/>
      <c r="K4" s="85"/>
      <c r="L4" s="85"/>
      <c r="M4" s="85"/>
      <c r="N4" s="86"/>
      <c r="O4" s="15"/>
      <c r="P4" s="84"/>
      <c r="Q4" s="88"/>
      <c r="R4" s="89"/>
      <c r="S4" s="88">
        <v>1.0</v>
      </c>
      <c r="T4" s="89"/>
      <c r="U4" s="88"/>
      <c r="V4" s="89"/>
      <c r="W4" s="88"/>
      <c r="X4" s="89"/>
      <c r="Y4" s="88">
        <v>1.0</v>
      </c>
      <c r="Z4" s="89"/>
      <c r="AA4" s="88">
        <v>1.0</v>
      </c>
      <c r="AB4" s="89"/>
      <c r="AC4" s="88">
        <v>1.0</v>
      </c>
      <c r="AD4" s="89"/>
      <c r="AE4" s="88">
        <v>1.0</v>
      </c>
      <c r="AF4" s="89"/>
      <c r="AG4" s="92"/>
      <c r="AH4" s="15"/>
      <c r="AI4" s="93"/>
      <c r="AJ4" s="15"/>
      <c r="AK4" s="95"/>
      <c r="AL4" s="15"/>
      <c r="AM4" s="96"/>
      <c r="AN4" s="100"/>
      <c r="AO4" s="101" t="s">
        <v>79</v>
      </c>
      <c r="AP4" s="102" t="s">
        <v>80</v>
      </c>
      <c r="AQ4" s="23"/>
      <c r="AR4" s="23"/>
      <c r="AS4" s="23"/>
      <c r="AT4" s="23"/>
      <c r="AU4" s="24" t="s">
        <v>81</v>
      </c>
      <c r="AV4" s="23"/>
      <c r="AW4" s="23"/>
      <c r="AX4" s="23"/>
      <c r="AY4" s="23"/>
      <c r="AZ4" s="103"/>
      <c r="BA4" s="23"/>
      <c r="BB4" s="23"/>
      <c r="BC4" s="23"/>
    </row>
    <row r="5" ht="15.0" customHeight="1">
      <c r="A5" s="3" t="str">
        <f>'D2'!D5</f>
        <v>ESC.LID-0214</v>
      </c>
      <c r="B5" s="107">
        <f t="shared" ref="B5:B46" si="1">1+B4</f>
        <v>2</v>
      </c>
      <c r="C5" s="109" t="str">
        <f>'D2'!C5</f>
        <v>AUDI ESTELA SAHUANAY HUISACAYNA</v>
      </c>
      <c r="D5" s="80" t="str">
        <f>'D2'!F5</f>
        <v>ARANDA HACHER, FELIPE MANUEL</v>
      </c>
      <c r="E5" s="113" t="str">
        <f>'D2'!G5</f>
        <v>42973857</v>
      </c>
      <c r="F5" s="114"/>
      <c r="G5" s="116"/>
      <c r="H5" s="116"/>
      <c r="I5" s="116"/>
      <c r="J5" s="116"/>
      <c r="K5" s="116"/>
      <c r="L5" s="116"/>
      <c r="M5" s="116"/>
      <c r="N5" s="118"/>
      <c r="O5" s="15"/>
      <c r="P5" s="114"/>
      <c r="Q5" s="119"/>
      <c r="R5" s="122"/>
      <c r="S5" s="119"/>
      <c r="T5" s="122"/>
      <c r="U5" s="119"/>
      <c r="V5" s="122"/>
      <c r="W5" s="119"/>
      <c r="X5" s="122"/>
      <c r="Y5" s="119"/>
      <c r="Z5" s="122"/>
      <c r="AA5" s="119"/>
      <c r="AB5" s="122"/>
      <c r="AC5" s="119"/>
      <c r="AD5" s="122"/>
      <c r="AE5" s="119"/>
      <c r="AF5" s="122"/>
      <c r="AG5" s="118"/>
      <c r="AH5" s="15"/>
      <c r="AI5" s="93"/>
      <c r="AJ5" s="15"/>
      <c r="AK5" s="93"/>
      <c r="AL5" s="15"/>
      <c r="AM5" s="96" t="s">
        <v>102</v>
      </c>
      <c r="AN5" s="124"/>
      <c r="AO5" s="125" t="s">
        <v>103</v>
      </c>
      <c r="AP5" s="126" t="s">
        <v>104</v>
      </c>
      <c r="AQ5" s="23"/>
      <c r="AR5" s="23"/>
      <c r="AS5" s="23"/>
      <c r="AT5" s="23"/>
      <c r="AU5" s="24" t="s">
        <v>105</v>
      </c>
      <c r="AV5" s="23"/>
      <c r="AW5" s="23"/>
      <c r="AX5" s="23"/>
      <c r="AY5" s="23"/>
      <c r="AZ5" s="103"/>
      <c r="BA5" s="23"/>
      <c r="BB5" s="23"/>
      <c r="BC5" s="23"/>
    </row>
    <row r="6" ht="15.0" customHeight="1">
      <c r="A6" s="3" t="str">
        <f>'D2'!D6</f>
        <v>ESC.LID-0221</v>
      </c>
      <c r="B6" s="107">
        <f t="shared" si="1"/>
        <v>3</v>
      </c>
      <c r="C6" s="80" t="str">
        <f>'D2'!C6</f>
        <v>AUDI ESTELA SAHUANAY HUISACAYNA</v>
      </c>
      <c r="D6" s="80" t="str">
        <f>'D2'!F6</f>
        <v>CACERES VARGAS, WILBER ALFREDO</v>
      </c>
      <c r="E6" s="113" t="str">
        <f>'D2'!G6</f>
        <v>09481596</v>
      </c>
      <c r="F6" s="114"/>
      <c r="G6" s="116"/>
      <c r="H6" s="116"/>
      <c r="I6" s="116"/>
      <c r="J6" s="116"/>
      <c r="K6" s="116"/>
      <c r="L6" s="116"/>
      <c r="M6" s="116"/>
      <c r="N6" s="118"/>
      <c r="O6" s="15"/>
      <c r="P6" s="114"/>
      <c r="Q6" s="119"/>
      <c r="R6" s="122"/>
      <c r="S6" s="119"/>
      <c r="T6" s="122"/>
      <c r="U6" s="119"/>
      <c r="V6" s="122"/>
      <c r="W6" s="119"/>
      <c r="X6" s="122"/>
      <c r="Y6" s="119"/>
      <c r="Z6" s="122"/>
      <c r="AA6" s="119"/>
      <c r="AB6" s="122"/>
      <c r="AC6" s="119"/>
      <c r="AD6" s="122"/>
      <c r="AE6" s="119"/>
      <c r="AF6" s="122"/>
      <c r="AG6" s="118"/>
      <c r="AH6" s="15"/>
      <c r="AI6" s="93"/>
      <c r="AJ6" s="15"/>
      <c r="AK6" s="93"/>
      <c r="AL6" s="15"/>
      <c r="AM6" s="96" t="s">
        <v>106</v>
      </c>
      <c r="AN6" s="124"/>
      <c r="AO6" s="125" t="s">
        <v>107</v>
      </c>
      <c r="AP6" s="126" t="s">
        <v>108</v>
      </c>
      <c r="AQ6" s="23"/>
      <c r="AR6" s="23"/>
      <c r="AS6" s="23"/>
      <c r="AT6" s="23"/>
      <c r="AU6" s="24" t="s">
        <v>109</v>
      </c>
      <c r="AV6" s="23"/>
      <c r="AW6" s="23"/>
      <c r="AX6" s="23"/>
      <c r="AY6" s="23"/>
      <c r="AZ6" s="103"/>
      <c r="BA6" s="23"/>
      <c r="BB6" s="23"/>
      <c r="BC6" s="23"/>
    </row>
    <row r="7" ht="15.0" customHeight="1">
      <c r="A7" s="3" t="str">
        <f>'D2'!D7</f>
        <v>ESC.LID-0227</v>
      </c>
      <c r="B7" s="107">
        <f t="shared" si="1"/>
        <v>4</v>
      </c>
      <c r="C7" s="109" t="str">
        <f>'D2'!C7</f>
        <v>AUDI ESTELA SAHUANAY HUISACAYNA</v>
      </c>
      <c r="D7" s="80" t="str">
        <f>'D2'!F7</f>
        <v>COMENTERO CARREÑO, MAYLY</v>
      </c>
      <c r="E7" s="113" t="str">
        <f>'D2'!G7</f>
        <v>76057551</v>
      </c>
      <c r="F7" s="114">
        <v>1.0</v>
      </c>
      <c r="G7" s="116">
        <v>4.0</v>
      </c>
      <c r="H7" s="116">
        <v>3.0</v>
      </c>
      <c r="I7" s="116">
        <v>1.0</v>
      </c>
      <c r="J7" s="116">
        <v>3.0</v>
      </c>
      <c r="K7" s="116">
        <v>1.0</v>
      </c>
      <c r="L7" s="116">
        <v>1.0</v>
      </c>
      <c r="M7" s="116">
        <v>2.0</v>
      </c>
      <c r="N7" s="118">
        <v>2.0</v>
      </c>
      <c r="O7" s="15"/>
      <c r="P7" s="114"/>
      <c r="Q7" s="119"/>
      <c r="R7" s="122"/>
      <c r="S7" s="119">
        <v>1.0</v>
      </c>
      <c r="T7" s="122"/>
      <c r="U7" s="119"/>
      <c r="V7" s="122"/>
      <c r="W7" s="119">
        <v>1.0</v>
      </c>
      <c r="X7" s="122"/>
      <c r="Y7" s="119">
        <v>1.0</v>
      </c>
      <c r="Z7" s="122"/>
      <c r="AA7" s="119">
        <v>1.0</v>
      </c>
      <c r="AB7" s="122"/>
      <c r="AC7" s="119">
        <v>1.0</v>
      </c>
      <c r="AD7" s="122"/>
      <c r="AE7" s="119">
        <v>1.0</v>
      </c>
      <c r="AF7" s="122"/>
      <c r="AG7" s="118">
        <v>1.0</v>
      </c>
      <c r="AH7" s="15"/>
      <c r="AI7" s="93">
        <v>0.0</v>
      </c>
      <c r="AJ7" s="15"/>
      <c r="AK7" s="93">
        <v>20.0</v>
      </c>
      <c r="AL7" s="15"/>
      <c r="AM7" s="96" t="s">
        <v>110</v>
      </c>
      <c r="AN7" s="124"/>
      <c r="AO7" s="125" t="s">
        <v>111</v>
      </c>
      <c r="AP7" s="126" t="s">
        <v>112</v>
      </c>
      <c r="AQ7" s="23"/>
      <c r="AR7" s="23"/>
      <c r="AS7" s="23"/>
      <c r="AT7" s="23"/>
      <c r="AU7" s="24" t="s">
        <v>113</v>
      </c>
      <c r="AV7" s="23"/>
      <c r="AW7" s="23"/>
      <c r="AX7" s="23"/>
      <c r="AY7" s="23"/>
      <c r="AZ7" s="103"/>
      <c r="BA7" s="23"/>
      <c r="BB7" s="23"/>
      <c r="BC7" s="23"/>
    </row>
    <row r="8" ht="15.0" customHeight="1">
      <c r="A8" s="3" t="str">
        <f>'D2'!D8</f>
        <v>ESC.LID-0233</v>
      </c>
      <c r="B8" s="107">
        <f t="shared" si="1"/>
        <v>5</v>
      </c>
      <c r="C8" s="80" t="str">
        <f>'D2'!C8</f>
        <v>AUDI ESTELA SAHUANAY HUISACAYNA</v>
      </c>
      <c r="D8" s="80" t="str">
        <f>'D2'!F8</f>
        <v>ECHEVARRIA LINARES, EDISON EDWARD’S</v>
      </c>
      <c r="E8" s="113" t="str">
        <f>'D2'!G8</f>
        <v>73683815</v>
      </c>
      <c r="F8" s="114">
        <v>1.0</v>
      </c>
      <c r="G8" s="116">
        <v>1.0</v>
      </c>
      <c r="H8" s="116"/>
      <c r="I8" s="116">
        <v>1.0</v>
      </c>
      <c r="J8" s="116">
        <v>2.0</v>
      </c>
      <c r="K8" s="116">
        <v>1.0</v>
      </c>
      <c r="L8" s="116">
        <v>1.0</v>
      </c>
      <c r="M8" s="116">
        <v>1.0</v>
      </c>
      <c r="N8" s="118">
        <v>2.0</v>
      </c>
      <c r="O8" s="15"/>
      <c r="P8" s="114"/>
      <c r="Q8" s="119"/>
      <c r="R8" s="122"/>
      <c r="S8" s="119">
        <v>1.0</v>
      </c>
      <c r="T8" s="132"/>
      <c r="U8" s="119"/>
      <c r="V8" s="122"/>
      <c r="W8" s="119"/>
      <c r="X8" s="122"/>
      <c r="Y8" s="119"/>
      <c r="Z8" s="122"/>
      <c r="AA8" s="119"/>
      <c r="AB8" s="132"/>
      <c r="AC8" s="119"/>
      <c r="AD8" s="132"/>
      <c r="AE8" s="119">
        <v>1.0</v>
      </c>
      <c r="AF8" s="122"/>
      <c r="AG8" s="118">
        <v>1.0</v>
      </c>
      <c r="AH8" s="15"/>
      <c r="AI8" s="93">
        <v>13.0</v>
      </c>
      <c r="AJ8" s="15"/>
      <c r="AK8" s="93">
        <v>20.0</v>
      </c>
      <c r="AL8" s="15"/>
      <c r="AM8" s="96"/>
      <c r="AN8" s="124"/>
      <c r="AO8" s="125" t="s">
        <v>103</v>
      </c>
      <c r="AP8" s="126" t="s">
        <v>104</v>
      </c>
      <c r="AQ8" s="23"/>
      <c r="AR8" s="23"/>
      <c r="AS8" s="23"/>
      <c r="AT8" s="23"/>
      <c r="AU8" s="24" t="s">
        <v>114</v>
      </c>
      <c r="AV8" s="23"/>
      <c r="AW8" s="23"/>
      <c r="AX8" s="23"/>
      <c r="AY8" s="23"/>
      <c r="AZ8" s="103"/>
      <c r="BA8" s="23"/>
      <c r="BB8" s="23"/>
      <c r="BC8" s="23"/>
    </row>
    <row r="9" ht="15.0" customHeight="1">
      <c r="A9" s="3" t="str">
        <f>'D2'!D9</f>
        <v>ESC.LID-0244</v>
      </c>
      <c r="B9" s="107">
        <f t="shared" si="1"/>
        <v>6</v>
      </c>
      <c r="C9" s="80" t="str">
        <f>'D2'!C9</f>
        <v>AUDI ESTELA SAHUANAY HUISACAYNA</v>
      </c>
      <c r="D9" s="80" t="str">
        <f>'D2'!F9</f>
        <v>LLAJA TICONA , SAINT</v>
      </c>
      <c r="E9" s="113" t="str">
        <f>'D2'!G9</f>
        <v>70285329</v>
      </c>
      <c r="F9" s="114">
        <v>1.0</v>
      </c>
      <c r="G9" s="116">
        <v>1.0</v>
      </c>
      <c r="H9" s="116">
        <v>1.0</v>
      </c>
      <c r="I9" s="116">
        <v>1.0</v>
      </c>
      <c r="J9" s="116">
        <v>1.0</v>
      </c>
      <c r="K9" s="116">
        <v>1.0</v>
      </c>
      <c r="L9" s="116">
        <v>1.0</v>
      </c>
      <c r="M9" s="116">
        <v>1.0</v>
      </c>
      <c r="N9" s="118">
        <v>1.0</v>
      </c>
      <c r="O9" s="15"/>
      <c r="P9" s="114"/>
      <c r="Q9" s="119">
        <v>2.0</v>
      </c>
      <c r="R9" s="132"/>
      <c r="S9" s="119"/>
      <c r="T9" s="132"/>
      <c r="U9" s="119">
        <v>1.0</v>
      </c>
      <c r="V9" s="122"/>
      <c r="W9" s="119">
        <v>1.0</v>
      </c>
      <c r="X9" s="132"/>
      <c r="Y9" s="119">
        <v>1.0</v>
      </c>
      <c r="Z9" s="132"/>
      <c r="AA9" s="119">
        <v>1.0</v>
      </c>
      <c r="AB9" s="132"/>
      <c r="AC9" s="119">
        <v>1.0</v>
      </c>
      <c r="AD9" s="122"/>
      <c r="AE9" s="119">
        <v>1.0</v>
      </c>
      <c r="AF9" s="122"/>
      <c r="AG9" s="118">
        <v>1.0</v>
      </c>
      <c r="AH9" s="15"/>
      <c r="AI9" s="93">
        <v>8.0</v>
      </c>
      <c r="AJ9" s="15"/>
      <c r="AK9" s="93">
        <v>20.0</v>
      </c>
      <c r="AL9" s="15"/>
      <c r="AM9" s="96" t="s">
        <v>115</v>
      </c>
      <c r="AN9" s="124"/>
      <c r="AO9" s="125" t="s">
        <v>116</v>
      </c>
      <c r="AP9" s="126" t="s">
        <v>117</v>
      </c>
      <c r="AQ9" s="23"/>
      <c r="AR9" s="23"/>
      <c r="AS9" s="23"/>
      <c r="AT9" s="23"/>
      <c r="AU9" s="24" t="s">
        <v>118</v>
      </c>
      <c r="AV9" s="23"/>
      <c r="AW9" s="23"/>
      <c r="AX9" s="23"/>
      <c r="AY9" s="23"/>
      <c r="AZ9" s="103"/>
      <c r="BA9" s="23"/>
      <c r="BB9" s="23"/>
      <c r="BC9" s="23"/>
    </row>
    <row r="10" ht="15.0" customHeight="1">
      <c r="A10" s="3" t="str">
        <f>'D2'!D10</f>
        <v>ESC.LID-0245</v>
      </c>
      <c r="B10" s="107">
        <f t="shared" si="1"/>
        <v>7</v>
      </c>
      <c r="C10" s="109" t="str">
        <f>'D2'!C10</f>
        <v>AUDI ESTELA SAHUANAY HUISACAYNA</v>
      </c>
      <c r="D10" s="109" t="str">
        <f>'D2'!F10</f>
        <v>LUCAS MELGAREJO, NELY</v>
      </c>
      <c r="E10" s="113" t="str">
        <f>'D2'!G10</f>
        <v>47715838</v>
      </c>
      <c r="F10" s="114">
        <v>1.0</v>
      </c>
      <c r="G10" s="116">
        <v>4.0</v>
      </c>
      <c r="H10" s="116">
        <v>4.0</v>
      </c>
      <c r="I10" s="116">
        <v>4.0</v>
      </c>
      <c r="J10" s="116">
        <v>1.0</v>
      </c>
      <c r="K10" s="116">
        <v>1.0</v>
      </c>
      <c r="L10" s="116">
        <v>1.0</v>
      </c>
      <c r="M10" s="116">
        <v>1.0</v>
      </c>
      <c r="N10" s="118">
        <v>1.0</v>
      </c>
      <c r="O10" s="15"/>
      <c r="P10" s="114"/>
      <c r="Q10" s="119"/>
      <c r="R10" s="122">
        <v>2.0</v>
      </c>
      <c r="S10" s="119">
        <v>1.0</v>
      </c>
      <c r="T10" s="122"/>
      <c r="U10" s="119">
        <v>2.0</v>
      </c>
      <c r="V10" s="122">
        <v>5.0</v>
      </c>
      <c r="W10" s="119">
        <v>1.0</v>
      </c>
      <c r="X10" s="122"/>
      <c r="Y10" s="119">
        <v>1.0</v>
      </c>
      <c r="Z10" s="122"/>
      <c r="AA10" s="119">
        <v>1.0</v>
      </c>
      <c r="AB10" s="122"/>
      <c r="AC10" s="119">
        <v>1.0</v>
      </c>
      <c r="AD10" s="122"/>
      <c r="AE10" s="119"/>
      <c r="AF10" s="122"/>
      <c r="AG10" s="118"/>
      <c r="AH10" s="15"/>
      <c r="AI10" s="93">
        <v>12.0</v>
      </c>
      <c r="AJ10" s="15"/>
      <c r="AK10" s="93"/>
      <c r="AL10" s="15"/>
      <c r="AM10" s="96"/>
      <c r="AN10" s="124"/>
      <c r="AO10" s="125" t="s">
        <v>119</v>
      </c>
      <c r="AP10" s="126" t="s">
        <v>120</v>
      </c>
      <c r="AQ10" s="23"/>
      <c r="AR10" s="23"/>
      <c r="AS10" s="23"/>
      <c r="AT10" s="23"/>
      <c r="AU10" s="24" t="s">
        <v>121</v>
      </c>
      <c r="AV10" s="23"/>
      <c r="AW10" s="23"/>
      <c r="AX10" s="23"/>
      <c r="AY10" s="23"/>
      <c r="AZ10" s="103"/>
      <c r="BA10" s="23"/>
      <c r="BB10" s="23"/>
      <c r="BC10" s="23"/>
    </row>
    <row r="11" ht="15.0" customHeight="1">
      <c r="A11" s="3" t="str">
        <f>'D2'!D11</f>
        <v>ESC.LID-0247</v>
      </c>
      <c r="B11" s="107">
        <f t="shared" si="1"/>
        <v>8</v>
      </c>
      <c r="C11" s="80" t="str">
        <f>'D2'!C11</f>
        <v>AUDI ESTELA SAHUANAY HUISACAYNA</v>
      </c>
      <c r="D11" s="80" t="str">
        <f>'D2'!F11</f>
        <v>MARTELL BARRIOS, ZORAIDA</v>
      </c>
      <c r="E11" s="113" t="str">
        <f>'D2'!G11</f>
        <v>47773475</v>
      </c>
      <c r="F11" s="114">
        <v>4.0</v>
      </c>
      <c r="G11" s="116">
        <v>4.0</v>
      </c>
      <c r="H11" s="116">
        <v>4.0</v>
      </c>
      <c r="I11" s="116">
        <v>4.0</v>
      </c>
      <c r="J11" s="116">
        <v>4.0</v>
      </c>
      <c r="K11" s="116">
        <v>4.0</v>
      </c>
      <c r="L11" s="116">
        <v>3.0</v>
      </c>
      <c r="M11" s="116">
        <v>3.0</v>
      </c>
      <c r="N11" s="118">
        <v>4.0</v>
      </c>
      <c r="O11" s="15"/>
      <c r="P11" s="114"/>
      <c r="Q11" s="119">
        <v>2.0</v>
      </c>
      <c r="R11" s="122"/>
      <c r="S11" s="119">
        <v>1.0</v>
      </c>
      <c r="T11" s="132"/>
      <c r="U11" s="119">
        <v>1.0</v>
      </c>
      <c r="V11" s="122"/>
      <c r="W11" s="119">
        <v>1.0</v>
      </c>
      <c r="X11" s="132"/>
      <c r="Y11" s="119">
        <v>1.0</v>
      </c>
      <c r="Z11" s="132"/>
      <c r="AA11" s="119">
        <v>1.0</v>
      </c>
      <c r="AB11" s="122"/>
      <c r="AC11" s="119">
        <v>1.0</v>
      </c>
      <c r="AD11" s="132"/>
      <c r="AE11" s="119">
        <v>2.0</v>
      </c>
      <c r="AF11" s="122"/>
      <c r="AG11" s="118"/>
      <c r="AH11" s="15"/>
      <c r="AI11" s="93">
        <v>10.0</v>
      </c>
      <c r="AJ11" s="15"/>
      <c r="AK11" s="93">
        <v>20.0</v>
      </c>
      <c r="AL11" s="15"/>
      <c r="AM11" s="96" t="s">
        <v>122</v>
      </c>
      <c r="AN11" s="124"/>
      <c r="AO11" s="125" t="s">
        <v>123</v>
      </c>
      <c r="AP11" s="126" t="s">
        <v>124</v>
      </c>
      <c r="AQ11" s="23"/>
      <c r="AR11" s="23"/>
      <c r="AS11" s="23"/>
      <c r="AT11" s="23"/>
      <c r="AU11" s="24" t="s">
        <v>125</v>
      </c>
      <c r="AV11" s="23"/>
      <c r="AW11" s="23"/>
      <c r="AX11" s="23"/>
      <c r="AY11" s="23"/>
      <c r="AZ11" s="103"/>
      <c r="BA11" s="23"/>
      <c r="BB11" s="23"/>
      <c r="BC11" s="23"/>
    </row>
    <row r="12" ht="15.0" customHeight="1">
      <c r="A12" s="3" t="str">
        <f>'D2'!D12</f>
        <v>ESC.LID-0252</v>
      </c>
      <c r="B12" s="107">
        <f t="shared" si="1"/>
        <v>9</v>
      </c>
      <c r="C12" s="80" t="str">
        <f>'D2'!C12</f>
        <v>AUDI ESTELA SAHUANAY HUISACAYNA</v>
      </c>
      <c r="D12" s="80" t="str">
        <f>'D2'!F12</f>
        <v>ORTIZ GARCIA, ANTHONY</v>
      </c>
      <c r="E12" s="113" t="str">
        <f>'D2'!G12</f>
        <v>72192544</v>
      </c>
      <c r="F12" s="114">
        <v>4.0</v>
      </c>
      <c r="G12" s="116">
        <v>1.0</v>
      </c>
      <c r="H12" s="116"/>
      <c r="I12" s="116"/>
      <c r="J12" s="116">
        <v>1.0</v>
      </c>
      <c r="K12" s="116">
        <v>1.0</v>
      </c>
      <c r="L12" s="116">
        <v>1.0</v>
      </c>
      <c r="M12" s="116">
        <v>1.0</v>
      </c>
      <c r="N12" s="118">
        <v>1.0</v>
      </c>
      <c r="O12" s="15"/>
      <c r="P12" s="114"/>
      <c r="Q12" s="119">
        <v>2.0</v>
      </c>
      <c r="R12" s="122"/>
      <c r="S12" s="139">
        <v>1.0</v>
      </c>
      <c r="T12" s="122"/>
      <c r="U12" s="119"/>
      <c r="V12" s="122"/>
      <c r="W12" s="119"/>
      <c r="X12" s="122"/>
      <c r="Y12" s="119">
        <v>1.0</v>
      </c>
      <c r="Z12" s="122"/>
      <c r="AA12" s="119">
        <v>1.0</v>
      </c>
      <c r="AB12" s="122"/>
      <c r="AC12" s="119">
        <v>1.0</v>
      </c>
      <c r="AD12" s="122"/>
      <c r="AE12" s="119">
        <v>1.0</v>
      </c>
      <c r="AF12" s="122"/>
      <c r="AG12" s="118">
        <v>1.0</v>
      </c>
      <c r="AH12" s="15"/>
      <c r="AI12" s="93">
        <v>13.0</v>
      </c>
      <c r="AJ12" s="15"/>
      <c r="AK12" s="93">
        <v>12.0</v>
      </c>
      <c r="AL12" s="15"/>
      <c r="AM12" s="96"/>
      <c r="AN12" s="124"/>
      <c r="AO12" s="125" t="s">
        <v>126</v>
      </c>
      <c r="AP12" s="126" t="s">
        <v>127</v>
      </c>
      <c r="AQ12" s="23"/>
      <c r="AR12" s="23"/>
      <c r="AS12" s="23"/>
      <c r="AT12" s="23"/>
      <c r="AU12" s="24" t="s">
        <v>128</v>
      </c>
      <c r="AV12" s="23"/>
      <c r="AW12" s="23"/>
      <c r="AX12" s="23"/>
      <c r="AY12" s="23"/>
      <c r="AZ12" s="103"/>
      <c r="BA12" s="23"/>
      <c r="BB12" s="23"/>
      <c r="BC12" s="23"/>
    </row>
    <row r="13" ht="15.0" customHeight="1">
      <c r="A13" s="3" t="str">
        <f>'D2'!D13</f>
        <v>ESC.LID-0259</v>
      </c>
      <c r="B13" s="107">
        <f t="shared" si="1"/>
        <v>10</v>
      </c>
      <c r="C13" s="80" t="str">
        <f>'D2'!C13</f>
        <v>AUDI ESTELA SAHUANAY HUISACAYNA</v>
      </c>
      <c r="D13" s="80" t="str">
        <f>'D2'!F13</f>
        <v>PEREYRA CANCHES, EDGAR DANNY</v>
      </c>
      <c r="E13" s="113" t="str">
        <f>'D2'!G13</f>
        <v>45715957</v>
      </c>
      <c r="F13" s="140">
        <v>1.0</v>
      </c>
      <c r="G13" s="116">
        <v>3.0</v>
      </c>
      <c r="H13" s="116">
        <v>3.0</v>
      </c>
      <c r="I13" s="116">
        <v>4.0</v>
      </c>
      <c r="J13" s="116">
        <v>3.0</v>
      </c>
      <c r="K13" s="116">
        <v>1.0</v>
      </c>
      <c r="L13" s="116">
        <v>1.0</v>
      </c>
      <c r="M13" s="116">
        <v>1.0</v>
      </c>
      <c r="N13" s="118">
        <v>1.0</v>
      </c>
      <c r="O13" s="15"/>
      <c r="P13" s="114"/>
      <c r="Q13" s="119"/>
      <c r="R13" s="122"/>
      <c r="S13" s="119">
        <v>1.0</v>
      </c>
      <c r="T13" s="122"/>
      <c r="U13" s="119">
        <v>1.0</v>
      </c>
      <c r="V13" s="122"/>
      <c r="W13" s="119">
        <v>1.0</v>
      </c>
      <c r="X13" s="122"/>
      <c r="Y13" s="119">
        <v>1.0</v>
      </c>
      <c r="Z13" s="132"/>
      <c r="AA13" s="119">
        <v>1.0</v>
      </c>
      <c r="AB13" s="122"/>
      <c r="AC13" s="119">
        <v>1.0</v>
      </c>
      <c r="AD13" s="132"/>
      <c r="AE13" s="119">
        <v>1.0</v>
      </c>
      <c r="AF13" s="122"/>
      <c r="AG13" s="118">
        <v>1.0</v>
      </c>
      <c r="AH13" s="15"/>
      <c r="AI13" s="93">
        <v>13.0</v>
      </c>
      <c r="AJ13" s="15"/>
      <c r="AK13" s="93">
        <v>20.0</v>
      </c>
      <c r="AL13" s="15"/>
      <c r="AM13" s="96"/>
      <c r="AN13" s="124"/>
      <c r="AO13" s="125" t="s">
        <v>129</v>
      </c>
      <c r="AP13" s="126" t="s">
        <v>130</v>
      </c>
      <c r="AQ13" s="23"/>
      <c r="AR13" s="23"/>
      <c r="AS13" s="23"/>
      <c r="AT13" s="23"/>
      <c r="AU13" s="24" t="s">
        <v>131</v>
      </c>
      <c r="AV13" s="23"/>
      <c r="AW13" s="23"/>
      <c r="AX13" s="23"/>
      <c r="AY13" s="23"/>
      <c r="AZ13" s="103"/>
      <c r="BA13" s="23"/>
      <c r="BB13" s="23"/>
      <c r="BC13" s="23"/>
    </row>
    <row r="14" ht="15.0" customHeight="1">
      <c r="A14" s="3" t="str">
        <f>'D2'!D14</f>
        <v>ESC.LID-0266</v>
      </c>
      <c r="B14" s="107">
        <f t="shared" si="1"/>
        <v>11</v>
      </c>
      <c r="C14" s="80" t="str">
        <f>'D2'!C14</f>
        <v>AUDI ESTELA SAHUANAY HUISACAYNA</v>
      </c>
      <c r="D14" s="80" t="str">
        <f>'D2'!F14</f>
        <v>RAMOS ROJAS, SOCORRO</v>
      </c>
      <c r="E14" s="113" t="str">
        <f>'D2'!G14</f>
        <v>09334182</v>
      </c>
      <c r="F14" s="114"/>
      <c r="G14" s="116"/>
      <c r="H14" s="116"/>
      <c r="I14" s="116"/>
      <c r="J14" s="116"/>
      <c r="K14" s="116"/>
      <c r="L14" s="116"/>
      <c r="M14" s="116"/>
      <c r="N14" s="118"/>
      <c r="O14" s="15"/>
      <c r="P14" s="114"/>
      <c r="Q14" s="119"/>
      <c r="R14" s="122"/>
      <c r="S14" s="119"/>
      <c r="T14" s="122"/>
      <c r="U14" s="119"/>
      <c r="V14" s="122"/>
      <c r="W14" s="119"/>
      <c r="X14" s="122"/>
      <c r="Y14" s="119"/>
      <c r="Z14" s="122"/>
      <c r="AA14" s="119"/>
      <c r="AB14" s="122"/>
      <c r="AC14" s="119"/>
      <c r="AD14" s="122"/>
      <c r="AE14" s="119"/>
      <c r="AF14" s="122"/>
      <c r="AG14" s="118"/>
      <c r="AH14" s="15"/>
      <c r="AI14" s="93"/>
      <c r="AJ14" s="15"/>
      <c r="AK14" s="93"/>
      <c r="AL14" s="15"/>
      <c r="AM14" s="96" t="s">
        <v>132</v>
      </c>
      <c r="AN14" s="124"/>
      <c r="AO14" s="125"/>
      <c r="AP14" s="126"/>
      <c r="AQ14" s="23"/>
      <c r="AR14" s="23"/>
      <c r="AS14" s="23"/>
      <c r="AT14" s="23"/>
      <c r="AU14" s="24" t="s">
        <v>133</v>
      </c>
      <c r="AV14" s="23"/>
      <c r="AW14" s="23"/>
      <c r="AX14" s="23"/>
      <c r="AY14" s="23"/>
      <c r="AZ14" s="103"/>
      <c r="BA14" s="23"/>
      <c r="BB14" s="23"/>
      <c r="BC14" s="23"/>
    </row>
    <row r="15" ht="15.0" customHeight="1">
      <c r="A15" s="3" t="str">
        <f>'D2'!D15</f>
        <v>ESC.LID-0268</v>
      </c>
      <c r="B15" s="107">
        <f t="shared" si="1"/>
        <v>12</v>
      </c>
      <c r="C15" s="109" t="str">
        <f>'D2'!C15</f>
        <v>AUDI ESTELA SAHUANAY HUISACAYNA</v>
      </c>
      <c r="D15" s="109" t="str">
        <f>'D2'!F15</f>
        <v>REYES RUIZ, MARIBEL MERCEDES</v>
      </c>
      <c r="E15" s="113" t="str">
        <f>'D2'!G15</f>
        <v>07245185</v>
      </c>
      <c r="F15" s="114">
        <v>4.0</v>
      </c>
      <c r="G15" s="116">
        <v>4.0</v>
      </c>
      <c r="H15" s="116">
        <v>4.0</v>
      </c>
      <c r="I15" s="116">
        <v>4.0</v>
      </c>
      <c r="J15" s="116">
        <v>4.0</v>
      </c>
      <c r="K15" s="116">
        <v>1.0</v>
      </c>
      <c r="L15" s="116">
        <v>1.0</v>
      </c>
      <c r="M15" s="116">
        <v>1.0</v>
      </c>
      <c r="N15" s="118">
        <v>3.0</v>
      </c>
      <c r="O15" s="15"/>
      <c r="P15" s="114"/>
      <c r="Q15" s="119">
        <v>2.0</v>
      </c>
      <c r="R15" s="122">
        <v>2.0</v>
      </c>
      <c r="S15" s="119">
        <v>2.0</v>
      </c>
      <c r="T15" s="122"/>
      <c r="U15" s="119">
        <v>2.0</v>
      </c>
      <c r="V15" s="122"/>
      <c r="W15" s="119">
        <v>1.0</v>
      </c>
      <c r="X15" s="122"/>
      <c r="Y15" s="119">
        <v>2.0</v>
      </c>
      <c r="Z15" s="122"/>
      <c r="AA15" s="119">
        <v>2.0</v>
      </c>
      <c r="AB15" s="122"/>
      <c r="AC15" s="119">
        <v>2.0</v>
      </c>
      <c r="AD15" s="122"/>
      <c r="AE15" s="119">
        <v>2.0</v>
      </c>
      <c r="AF15" s="122"/>
      <c r="AG15" s="118">
        <v>2.0</v>
      </c>
      <c r="AH15" s="15"/>
      <c r="AI15" s="93">
        <v>19.0</v>
      </c>
      <c r="AJ15" s="15"/>
      <c r="AK15" s="93">
        <v>20.0</v>
      </c>
      <c r="AL15" s="15"/>
      <c r="AM15" s="96"/>
      <c r="AN15" s="124"/>
      <c r="AO15" s="125" t="s">
        <v>123</v>
      </c>
      <c r="AP15" s="126" t="s">
        <v>124</v>
      </c>
      <c r="AQ15" s="23"/>
      <c r="AR15" s="23"/>
      <c r="AS15" s="23"/>
      <c r="AT15" s="23"/>
      <c r="AU15" s="24" t="s">
        <v>134</v>
      </c>
      <c r="AV15" s="23"/>
      <c r="AW15" s="23"/>
      <c r="AX15" s="23"/>
      <c r="AY15" s="23"/>
      <c r="AZ15" s="103"/>
      <c r="BA15" s="23"/>
      <c r="BB15" s="23"/>
      <c r="BC15" s="23"/>
    </row>
    <row r="16" ht="15.0" customHeight="1">
      <c r="A16" s="3" t="str">
        <f>'D2'!D16</f>
        <v>ESC.LID-0271</v>
      </c>
      <c r="B16" s="107">
        <f t="shared" si="1"/>
        <v>13</v>
      </c>
      <c r="C16" s="80" t="str">
        <f>'D2'!C16</f>
        <v>AUDI ESTELA SAHUANAY HUISACAYNA</v>
      </c>
      <c r="D16" s="80" t="str">
        <f>'D2'!F16</f>
        <v>RIVAS  ALVAREZ, CARMEN </v>
      </c>
      <c r="E16" s="113" t="str">
        <f>'D2'!G16</f>
        <v>10214646</v>
      </c>
      <c r="F16" s="114">
        <v>1.0</v>
      </c>
      <c r="G16" s="116">
        <v>1.0</v>
      </c>
      <c r="H16" s="116">
        <v>1.0</v>
      </c>
      <c r="I16" s="116"/>
      <c r="J16" s="116"/>
      <c r="K16" s="116"/>
      <c r="L16" s="116"/>
      <c r="M16" s="116"/>
      <c r="N16" s="118"/>
      <c r="O16" s="15"/>
      <c r="P16" s="114"/>
      <c r="Q16" s="119"/>
      <c r="R16" s="122"/>
      <c r="S16" s="119"/>
      <c r="T16" s="122"/>
      <c r="U16" s="119"/>
      <c r="V16" s="122"/>
      <c r="W16" s="119"/>
      <c r="X16" s="122"/>
      <c r="Y16" s="119"/>
      <c r="Z16" s="122"/>
      <c r="AA16" s="119"/>
      <c r="AB16" s="122"/>
      <c r="AC16" s="119"/>
      <c r="AD16" s="122"/>
      <c r="AE16" s="119"/>
      <c r="AF16" s="122"/>
      <c r="AG16" s="118"/>
      <c r="AH16" s="15"/>
      <c r="AI16" s="93"/>
      <c r="AJ16" s="15"/>
      <c r="AK16" s="93"/>
      <c r="AL16" s="15"/>
      <c r="AM16" s="96"/>
      <c r="AN16" s="124"/>
      <c r="AO16" s="125" t="s">
        <v>135</v>
      </c>
      <c r="AP16" s="126" t="s">
        <v>136</v>
      </c>
      <c r="AQ16" s="23"/>
      <c r="AR16" s="23"/>
      <c r="AS16" s="23"/>
      <c r="AT16" s="23"/>
      <c r="AU16" s="24" t="s">
        <v>137</v>
      </c>
      <c r="AV16" s="23"/>
      <c r="AW16" s="23"/>
      <c r="AX16" s="23"/>
      <c r="AY16" s="23"/>
      <c r="AZ16" s="103"/>
      <c r="BA16" s="23"/>
      <c r="BB16" s="23"/>
      <c r="BC16" s="23"/>
    </row>
    <row r="17" ht="15.0" customHeight="1">
      <c r="A17" s="3" t="str">
        <f>'D2'!D17</f>
        <v>ESC.LID-0274</v>
      </c>
      <c r="B17" s="107">
        <f t="shared" si="1"/>
        <v>14</v>
      </c>
      <c r="C17" s="80" t="str">
        <f>'D2'!C17</f>
        <v>AUDI ESTELA SAHUANAY HUISACAYNA</v>
      </c>
      <c r="D17" s="80" t="str">
        <f>'D2'!F17</f>
        <v>ROJAS MORALES, GIANELLA</v>
      </c>
      <c r="E17" s="113" t="str">
        <f>'D2'!G17</f>
        <v>74971204</v>
      </c>
      <c r="F17" s="114"/>
      <c r="G17" s="116"/>
      <c r="H17" s="116"/>
      <c r="I17" s="116"/>
      <c r="J17" s="116"/>
      <c r="K17" s="116"/>
      <c r="L17" s="116"/>
      <c r="M17" s="116"/>
      <c r="N17" s="118"/>
      <c r="O17" s="15"/>
      <c r="P17" s="114"/>
      <c r="Q17" s="119"/>
      <c r="R17" s="132"/>
      <c r="S17" s="119"/>
      <c r="T17" s="122"/>
      <c r="U17" s="119"/>
      <c r="V17" s="122"/>
      <c r="W17" s="119"/>
      <c r="X17" s="122"/>
      <c r="Y17" s="119"/>
      <c r="Z17" s="122"/>
      <c r="AA17" s="119"/>
      <c r="AB17" s="122"/>
      <c r="AC17" s="119"/>
      <c r="AD17" s="122"/>
      <c r="AE17" s="119"/>
      <c r="AF17" s="122"/>
      <c r="AG17" s="118"/>
      <c r="AH17" s="15"/>
      <c r="AI17" s="93"/>
      <c r="AJ17" s="15"/>
      <c r="AK17" s="93"/>
      <c r="AL17" s="15"/>
      <c r="AM17" s="96" t="s">
        <v>138</v>
      </c>
      <c r="AN17" s="124"/>
      <c r="AO17" s="125" t="s">
        <v>139</v>
      </c>
      <c r="AP17" s="126" t="s">
        <v>140</v>
      </c>
      <c r="AQ17" s="23"/>
      <c r="AR17" s="23"/>
      <c r="AS17" s="23"/>
      <c r="AT17" s="23"/>
      <c r="AU17" s="24" t="s">
        <v>141</v>
      </c>
      <c r="AV17" s="23"/>
      <c r="AW17" s="23"/>
      <c r="AX17" s="23"/>
      <c r="AY17" s="23"/>
      <c r="AZ17" s="103"/>
      <c r="BA17" s="23"/>
      <c r="BB17" s="23"/>
      <c r="BC17" s="23"/>
    </row>
    <row r="18" ht="15.0" customHeight="1">
      <c r="A18" s="3" t="str">
        <f>'D2'!D18</f>
        <v>ESC.LID-0278</v>
      </c>
      <c r="B18" s="107">
        <f t="shared" si="1"/>
        <v>15</v>
      </c>
      <c r="C18" s="80" t="str">
        <f>'D2'!C18</f>
        <v>AUDI ESTELA SAHUANAY HUISACAYNA</v>
      </c>
      <c r="D18" s="80" t="str">
        <f>'D2'!F18</f>
        <v>SAGASTEGUI ORIHUELA, ALAN ALBERTO </v>
      </c>
      <c r="E18" s="113" t="str">
        <f>'D2'!G18</f>
        <v>46373531</v>
      </c>
      <c r="F18" s="114">
        <v>1.0</v>
      </c>
      <c r="G18" s="116">
        <v>1.0</v>
      </c>
      <c r="H18" s="116">
        <v>1.0</v>
      </c>
      <c r="I18" s="116">
        <v>1.0</v>
      </c>
      <c r="J18" s="116">
        <v>1.0</v>
      </c>
      <c r="K18" s="116">
        <v>1.0</v>
      </c>
      <c r="L18" s="116">
        <v>1.0</v>
      </c>
      <c r="M18" s="116">
        <v>1.0</v>
      </c>
      <c r="N18" s="118">
        <v>3.0</v>
      </c>
      <c r="O18" s="15"/>
      <c r="P18" s="114"/>
      <c r="Q18" s="119">
        <v>2.0</v>
      </c>
      <c r="R18" s="132"/>
      <c r="S18" s="119"/>
      <c r="T18" s="132"/>
      <c r="U18" s="119"/>
      <c r="V18" s="122"/>
      <c r="W18" s="119"/>
      <c r="X18" s="132"/>
      <c r="Y18" s="119"/>
      <c r="Z18" s="132"/>
      <c r="AA18" s="119"/>
      <c r="AB18" s="122"/>
      <c r="AC18" s="119"/>
      <c r="AD18" s="122"/>
      <c r="AE18" s="119"/>
      <c r="AF18" s="122"/>
      <c r="AG18" s="118"/>
      <c r="AH18" s="143"/>
      <c r="AI18" s="93">
        <v>13.0</v>
      </c>
      <c r="AJ18" s="15"/>
      <c r="AK18" s="93">
        <v>16.0</v>
      </c>
      <c r="AL18" s="15"/>
      <c r="AM18" s="96"/>
      <c r="AN18" s="124"/>
      <c r="AO18" s="125" t="s">
        <v>142</v>
      </c>
      <c r="AP18" s="126" t="s">
        <v>143</v>
      </c>
      <c r="AQ18" s="23"/>
      <c r="AR18" s="23"/>
      <c r="AS18" s="23"/>
      <c r="AT18" s="23"/>
      <c r="AU18" s="24" t="s">
        <v>144</v>
      </c>
      <c r="AV18" s="23"/>
      <c r="AW18" s="23"/>
      <c r="AX18" s="23"/>
      <c r="AY18" s="23"/>
      <c r="AZ18" s="103"/>
      <c r="BA18" s="23"/>
      <c r="BB18" s="23"/>
      <c r="BC18" s="23"/>
    </row>
    <row r="19" ht="15.0" customHeight="1">
      <c r="A19" s="3" t="str">
        <f>'D2'!D19</f>
        <v>ESC.LID-0283</v>
      </c>
      <c r="B19" s="107">
        <f t="shared" si="1"/>
        <v>16</v>
      </c>
      <c r="C19" s="80" t="str">
        <f>'D2'!C19</f>
        <v>AUDI ESTELA SAHUANAY HUISACAYNA</v>
      </c>
      <c r="D19" s="80" t="str">
        <f>'D2'!F19</f>
        <v>SULCA RODRIGUEZ, DIEGO ARMANDO</v>
      </c>
      <c r="E19" s="113" t="str">
        <f>'D2'!G19</f>
        <v>46258796</v>
      </c>
      <c r="F19" s="114">
        <v>1.0</v>
      </c>
      <c r="G19" s="116"/>
      <c r="H19" s="116"/>
      <c r="I19" s="116"/>
      <c r="J19" s="116"/>
      <c r="K19" s="116"/>
      <c r="L19" s="116"/>
      <c r="M19" s="116"/>
      <c r="N19" s="118"/>
      <c r="O19" s="15"/>
      <c r="P19" s="114"/>
      <c r="Q19" s="119">
        <v>2.0</v>
      </c>
      <c r="R19" s="122"/>
      <c r="S19" s="119">
        <v>1.0</v>
      </c>
      <c r="T19" s="122"/>
      <c r="U19" s="119">
        <v>1.0</v>
      </c>
      <c r="V19" s="122"/>
      <c r="W19" s="119">
        <v>2.0</v>
      </c>
      <c r="X19" s="122"/>
      <c r="Y19" s="119">
        <v>1.0</v>
      </c>
      <c r="Z19" s="122"/>
      <c r="AA19" s="119">
        <v>1.0</v>
      </c>
      <c r="AB19" s="122"/>
      <c r="AC19" s="119">
        <v>1.0</v>
      </c>
      <c r="AD19" s="132"/>
      <c r="AE19" s="119">
        <v>1.0</v>
      </c>
      <c r="AF19" s="122"/>
      <c r="AG19" s="118"/>
      <c r="AH19" s="15"/>
      <c r="AI19" s="93"/>
      <c r="AJ19" s="15"/>
      <c r="AK19" s="93"/>
      <c r="AL19" s="15"/>
      <c r="AM19" s="96" t="s">
        <v>145</v>
      </c>
      <c r="AN19" s="124" t="s">
        <v>14</v>
      </c>
      <c r="AO19" s="125" t="s">
        <v>146</v>
      </c>
      <c r="AP19" s="126" t="s">
        <v>147</v>
      </c>
      <c r="AQ19" s="23"/>
      <c r="AR19" s="23"/>
      <c r="AS19" s="23"/>
      <c r="AT19" s="23"/>
      <c r="AU19" s="24" t="s">
        <v>148</v>
      </c>
      <c r="AV19" s="23"/>
      <c r="AW19" s="23"/>
      <c r="AX19" s="23"/>
      <c r="AY19" s="23"/>
      <c r="AZ19" s="103"/>
      <c r="BA19" s="23"/>
      <c r="BB19" s="23"/>
      <c r="BC19" s="23"/>
    </row>
    <row r="20" ht="15.0" customHeight="1">
      <c r="A20" s="3" t="str">
        <f>'D2'!D20</f>
        <v>ESC.LID-1450</v>
      </c>
      <c r="B20" s="107">
        <f t="shared" si="1"/>
        <v>17</v>
      </c>
      <c r="C20" s="80" t="str">
        <f>'D2'!C20</f>
        <v>AUDI ESTELA SAHUANAY HUISACAYNA</v>
      </c>
      <c r="D20" s="80" t="str">
        <f>'D2'!F20</f>
        <v>JORIS ONSIA, MAARTEN</v>
      </c>
      <c r="E20" s="113" t="str">
        <f>'D2'!G20</f>
        <v>04045579</v>
      </c>
      <c r="F20" s="114"/>
      <c r="G20" s="116">
        <v>1.0</v>
      </c>
      <c r="H20" s="116">
        <v>1.0</v>
      </c>
      <c r="I20" s="116">
        <v>2.0</v>
      </c>
      <c r="J20" s="116">
        <v>3.0</v>
      </c>
      <c r="K20" s="116">
        <v>1.0</v>
      </c>
      <c r="L20" s="116">
        <v>2.0</v>
      </c>
      <c r="M20" s="116">
        <v>3.0</v>
      </c>
      <c r="N20" s="118">
        <v>2.0</v>
      </c>
      <c r="O20" s="143"/>
      <c r="P20" s="114"/>
      <c r="Q20" s="119"/>
      <c r="R20" s="122"/>
      <c r="S20" s="119"/>
      <c r="T20" s="132"/>
      <c r="U20" s="119"/>
      <c r="V20" s="122">
        <v>5.0</v>
      </c>
      <c r="W20" s="119"/>
      <c r="X20" s="122"/>
      <c r="Y20" s="119"/>
      <c r="Z20" s="132"/>
      <c r="AA20" s="119"/>
      <c r="AB20" s="122"/>
      <c r="AC20" s="119"/>
      <c r="AD20" s="132"/>
      <c r="AE20" s="119"/>
      <c r="AF20" s="122"/>
      <c r="AG20" s="118"/>
      <c r="AH20" s="15"/>
      <c r="AI20" s="93">
        <v>15.0</v>
      </c>
      <c r="AJ20" s="15"/>
      <c r="AK20" s="93">
        <v>20.0</v>
      </c>
      <c r="AL20" s="15"/>
      <c r="AM20" s="96"/>
      <c r="AN20" s="144"/>
      <c r="AO20" s="125" t="s">
        <v>103</v>
      </c>
      <c r="AP20" s="126" t="s">
        <v>104</v>
      </c>
      <c r="AQ20" s="23"/>
      <c r="AR20" s="23"/>
      <c r="AS20" s="23"/>
      <c r="AT20" s="23"/>
      <c r="AU20" s="24" t="s">
        <v>149</v>
      </c>
      <c r="AV20" s="23"/>
      <c r="AW20" s="23"/>
      <c r="AX20" s="23"/>
      <c r="AY20" s="23"/>
      <c r="AZ20" s="103"/>
      <c r="BA20" s="23"/>
      <c r="BB20" s="23"/>
      <c r="BC20" s="23"/>
    </row>
    <row r="21" ht="15.0" customHeight="1">
      <c r="A21" s="3" t="str">
        <f>'D2'!D21</f>
        <v>ESC.LID-1499</v>
      </c>
      <c r="B21" s="107">
        <f t="shared" si="1"/>
        <v>18</v>
      </c>
      <c r="C21" s="80" t="str">
        <f>'D2'!C21</f>
        <v>AUDI ESTELA SAHUANAY HUISACAYNA</v>
      </c>
      <c r="D21" s="80" t="str">
        <f>'D2'!F21</f>
        <v>SANCHEZ PEREZ, PAMELA ISABEL</v>
      </c>
      <c r="E21" s="113" t="str">
        <f>'D2'!G21</f>
        <v>72759143</v>
      </c>
      <c r="F21" s="114">
        <v>1.0</v>
      </c>
      <c r="G21" s="116"/>
      <c r="H21" s="116"/>
      <c r="I21" s="116">
        <v>4.0</v>
      </c>
      <c r="J21" s="116">
        <v>5.0</v>
      </c>
      <c r="K21" s="116">
        <v>4.0</v>
      </c>
      <c r="L21" s="116">
        <v>1.0</v>
      </c>
      <c r="M21" s="116">
        <v>1.0</v>
      </c>
      <c r="N21" s="118">
        <v>1.0</v>
      </c>
      <c r="O21" s="15"/>
      <c r="P21" s="114"/>
      <c r="Q21" s="119"/>
      <c r="R21" s="122"/>
      <c r="S21" s="119"/>
      <c r="T21" s="122"/>
      <c r="U21" s="119"/>
      <c r="V21" s="122"/>
      <c r="W21" s="119"/>
      <c r="X21" s="122"/>
      <c r="Y21" s="119">
        <v>2.0</v>
      </c>
      <c r="Z21" s="132"/>
      <c r="AA21" s="119"/>
      <c r="AB21" s="122"/>
      <c r="AC21" s="119"/>
      <c r="AD21" s="132"/>
      <c r="AE21" s="119"/>
      <c r="AF21" s="132"/>
      <c r="AG21" s="118"/>
      <c r="AH21" s="15"/>
      <c r="AI21" s="93">
        <v>13.0</v>
      </c>
      <c r="AJ21" s="15"/>
      <c r="AK21" s="93">
        <v>20.0</v>
      </c>
      <c r="AL21" s="15"/>
      <c r="AM21" s="96" t="s">
        <v>150</v>
      </c>
      <c r="AN21" s="144"/>
      <c r="AO21" s="125" t="s">
        <v>123</v>
      </c>
      <c r="AP21" s="126" t="s">
        <v>124</v>
      </c>
      <c r="AQ21" s="23"/>
      <c r="AR21" s="23"/>
      <c r="AS21" s="23"/>
      <c r="AT21" s="23"/>
      <c r="AU21" s="24" t="s">
        <v>151</v>
      </c>
      <c r="AV21" s="23"/>
      <c r="AW21" s="23"/>
      <c r="AX21" s="23"/>
      <c r="AY21" s="23"/>
      <c r="AZ21" s="103"/>
      <c r="BA21" s="23"/>
      <c r="BB21" s="23"/>
      <c r="BC21" s="23"/>
    </row>
    <row r="22" ht="15.0" customHeight="1">
      <c r="A22" s="3" t="str">
        <f>'D2'!D22</f>
        <v>ESC.LID-1504</v>
      </c>
      <c r="B22" s="107">
        <f t="shared" si="1"/>
        <v>19</v>
      </c>
      <c r="C22" s="80" t="str">
        <f>'D2'!C22</f>
        <v>AUDI ESTELA SAHUANAY HUISACAYNA</v>
      </c>
      <c r="D22" s="80" t="str">
        <f>'D2'!F22</f>
        <v>COELLO PACHECO, JULIO CESAR</v>
      </c>
      <c r="E22" s="113" t="str">
        <f>'D2'!G22</f>
        <v>21497420</v>
      </c>
      <c r="F22" s="114"/>
      <c r="G22" s="116"/>
      <c r="H22" s="116"/>
      <c r="I22" s="116">
        <v>1.0</v>
      </c>
      <c r="J22" s="116">
        <v>1.0</v>
      </c>
      <c r="K22" s="116">
        <v>2.0</v>
      </c>
      <c r="L22" s="116">
        <v>1.0</v>
      </c>
      <c r="M22" s="116">
        <v>1.0</v>
      </c>
      <c r="N22" s="118">
        <v>2.0</v>
      </c>
      <c r="O22" s="15"/>
      <c r="P22" s="114"/>
      <c r="Q22" s="119"/>
      <c r="R22" s="122"/>
      <c r="S22" s="119"/>
      <c r="T22" s="122"/>
      <c r="U22" s="119"/>
      <c r="V22" s="122">
        <v>5.0</v>
      </c>
      <c r="W22" s="119">
        <v>1.0</v>
      </c>
      <c r="X22" s="122"/>
      <c r="Y22" s="119">
        <v>2.0</v>
      </c>
      <c r="Z22" s="122"/>
      <c r="AA22" s="119">
        <v>2.0</v>
      </c>
      <c r="AB22" s="122"/>
      <c r="AC22" s="119">
        <v>2.0</v>
      </c>
      <c r="AD22" s="122"/>
      <c r="AE22" s="119">
        <v>2.0</v>
      </c>
      <c r="AF22" s="122"/>
      <c r="AG22" s="118">
        <v>2.0</v>
      </c>
      <c r="AH22" s="15"/>
      <c r="AI22" s="93">
        <v>11.0</v>
      </c>
      <c r="AJ22" s="15"/>
      <c r="AK22" s="93">
        <v>20.0</v>
      </c>
      <c r="AL22" s="15"/>
      <c r="AM22" s="96" t="s">
        <v>152</v>
      </c>
      <c r="AN22" s="124"/>
      <c r="AO22" s="125" t="s">
        <v>153</v>
      </c>
      <c r="AP22" s="126" t="s">
        <v>154</v>
      </c>
      <c r="AQ22" s="23"/>
      <c r="AR22" s="23"/>
      <c r="AS22" s="23"/>
      <c r="AT22" s="23"/>
      <c r="AU22" s="24" t="s">
        <v>155</v>
      </c>
      <c r="AV22" s="23"/>
      <c r="AW22" s="23"/>
      <c r="AX22" s="23"/>
      <c r="AY22" s="23"/>
      <c r="AZ22" s="103"/>
      <c r="BA22" s="23"/>
      <c r="BB22" s="23"/>
      <c r="BC22" s="23"/>
    </row>
    <row r="23" ht="15.0" customHeight="1">
      <c r="A23" s="3" t="str">
        <f>'D2'!D23</f>
        <v/>
      </c>
      <c r="B23" s="107">
        <f t="shared" si="1"/>
        <v>20</v>
      </c>
      <c r="C23" s="145" t="str">
        <f>'D2'!C23</f>
        <v/>
      </c>
      <c r="D23" s="145" t="str">
        <f>'D2'!F23</f>
        <v/>
      </c>
      <c r="E23" s="146" t="str">
        <f>'D2'!G23</f>
        <v/>
      </c>
      <c r="F23" s="114"/>
      <c r="G23" s="116"/>
      <c r="H23" s="116"/>
      <c r="I23" s="116"/>
      <c r="J23" s="116"/>
      <c r="K23" s="116"/>
      <c r="L23" s="116"/>
      <c r="M23" s="116"/>
      <c r="N23" s="118"/>
      <c r="O23" s="15"/>
      <c r="P23" s="114"/>
      <c r="Q23" s="119"/>
      <c r="R23" s="122"/>
      <c r="S23" s="119"/>
      <c r="T23" s="132"/>
      <c r="U23" s="119"/>
      <c r="V23" s="122"/>
      <c r="W23" s="119"/>
      <c r="X23" s="122"/>
      <c r="Y23" s="119"/>
      <c r="Z23" s="122"/>
      <c r="AA23" s="119"/>
      <c r="AB23" s="122"/>
      <c r="AC23" s="119"/>
      <c r="AD23" s="132"/>
      <c r="AE23" s="119"/>
      <c r="AF23" s="122"/>
      <c r="AG23" s="118"/>
      <c r="AH23" s="15"/>
      <c r="AI23" s="93"/>
      <c r="AJ23" s="15"/>
      <c r="AK23" s="93"/>
      <c r="AL23" s="15"/>
      <c r="AM23" s="96"/>
      <c r="AN23" s="124"/>
      <c r="AO23" s="125"/>
      <c r="AP23" s="126"/>
      <c r="AQ23" s="23"/>
      <c r="AR23" s="23"/>
      <c r="AS23" s="23"/>
      <c r="AT23" s="23"/>
      <c r="AU23" s="24" t="s">
        <v>156</v>
      </c>
      <c r="AV23" s="23"/>
      <c r="AW23" s="23"/>
      <c r="AX23" s="23"/>
      <c r="AY23" s="23"/>
      <c r="AZ23" s="103"/>
      <c r="BA23" s="23"/>
      <c r="BB23" s="23"/>
      <c r="BC23" s="23"/>
    </row>
    <row r="24" ht="15.0" customHeight="1">
      <c r="A24" s="3" t="str">
        <f>'D2'!D24</f>
        <v/>
      </c>
      <c r="B24" s="107">
        <f t="shared" si="1"/>
        <v>21</v>
      </c>
      <c r="C24" s="145" t="str">
        <f>'D2'!C24</f>
        <v/>
      </c>
      <c r="D24" s="145" t="str">
        <f>'D2'!F24</f>
        <v/>
      </c>
      <c r="E24" s="146" t="str">
        <f>'D2'!G24</f>
        <v/>
      </c>
      <c r="F24" s="114"/>
      <c r="G24" s="116"/>
      <c r="H24" s="116"/>
      <c r="I24" s="116"/>
      <c r="J24" s="116"/>
      <c r="K24" s="116"/>
      <c r="L24" s="116"/>
      <c r="M24" s="116"/>
      <c r="N24" s="118"/>
      <c r="O24" s="15"/>
      <c r="P24" s="114"/>
      <c r="Q24" s="119"/>
      <c r="R24" s="132"/>
      <c r="S24" s="119"/>
      <c r="T24" s="122"/>
      <c r="U24" s="119"/>
      <c r="V24" s="122"/>
      <c r="W24" s="119"/>
      <c r="X24" s="122"/>
      <c r="Y24" s="119"/>
      <c r="Z24" s="122"/>
      <c r="AA24" s="119"/>
      <c r="AB24" s="122"/>
      <c r="AC24" s="119"/>
      <c r="AD24" s="132"/>
      <c r="AE24" s="119"/>
      <c r="AF24" s="132"/>
      <c r="AG24" s="147"/>
      <c r="AH24" s="15"/>
      <c r="AI24" s="93"/>
      <c r="AJ24" s="15"/>
      <c r="AK24" s="93"/>
      <c r="AL24" s="15"/>
      <c r="AM24" s="96"/>
      <c r="AN24" s="124"/>
      <c r="AO24" s="125"/>
      <c r="AP24" s="126"/>
      <c r="AQ24" s="23"/>
      <c r="AR24" s="23"/>
      <c r="AS24" s="23"/>
      <c r="AT24" s="23"/>
      <c r="AU24" s="24" t="s">
        <v>157</v>
      </c>
      <c r="AV24" s="23"/>
      <c r="AW24" s="23"/>
      <c r="AX24" s="23"/>
      <c r="AY24" s="23"/>
      <c r="AZ24" s="103"/>
      <c r="BA24" s="23"/>
      <c r="BB24" s="23"/>
      <c r="BC24" s="23"/>
    </row>
    <row r="25" ht="15.0" customHeight="1">
      <c r="A25" s="3" t="str">
        <f>'D2'!D25</f>
        <v/>
      </c>
      <c r="B25" s="107">
        <f t="shared" si="1"/>
        <v>22</v>
      </c>
      <c r="C25" s="145" t="str">
        <f>'D2'!C25</f>
        <v/>
      </c>
      <c r="D25" s="145" t="str">
        <f>'D2'!F25</f>
        <v/>
      </c>
      <c r="E25" s="146" t="str">
        <f>'D2'!G25</f>
        <v/>
      </c>
      <c r="F25" s="114"/>
      <c r="G25" s="116"/>
      <c r="H25" s="116"/>
      <c r="I25" s="116"/>
      <c r="J25" s="116"/>
      <c r="K25" s="116"/>
      <c r="L25" s="116"/>
      <c r="M25" s="116"/>
      <c r="N25" s="118"/>
      <c r="O25" s="15"/>
      <c r="P25" s="148"/>
      <c r="Q25" s="119"/>
      <c r="R25" s="132"/>
      <c r="S25" s="119"/>
      <c r="T25" s="132"/>
      <c r="U25" s="119"/>
      <c r="V25" s="122"/>
      <c r="W25" s="119"/>
      <c r="X25" s="122"/>
      <c r="Y25" s="119"/>
      <c r="Z25" s="122"/>
      <c r="AA25" s="119"/>
      <c r="AB25" s="122"/>
      <c r="AC25" s="119"/>
      <c r="AD25" s="132"/>
      <c r="AE25" s="119"/>
      <c r="AF25" s="132"/>
      <c r="AG25" s="147"/>
      <c r="AH25" s="15"/>
      <c r="AI25" s="93"/>
      <c r="AJ25" s="15"/>
      <c r="AK25" s="93"/>
      <c r="AL25" s="15"/>
      <c r="AM25" s="96"/>
      <c r="AN25" s="124"/>
      <c r="AO25" s="125"/>
      <c r="AP25" s="126"/>
      <c r="AQ25" s="23"/>
      <c r="AR25" s="23"/>
      <c r="AS25" s="23"/>
      <c r="AT25" s="23"/>
      <c r="AU25" s="24" t="s">
        <v>158</v>
      </c>
      <c r="AV25" s="23"/>
      <c r="AW25" s="23"/>
      <c r="AX25" s="23"/>
      <c r="AY25" s="23"/>
      <c r="AZ25" s="103"/>
      <c r="BA25" s="23"/>
      <c r="BB25" s="23"/>
      <c r="BC25" s="23"/>
    </row>
    <row r="26" ht="15.0" customHeight="1">
      <c r="A26" s="3" t="str">
        <f>'D2'!D26</f>
        <v/>
      </c>
      <c r="B26" s="107">
        <f t="shared" si="1"/>
        <v>23</v>
      </c>
      <c r="C26" s="145" t="str">
        <f>'D2'!C26</f>
        <v/>
      </c>
      <c r="D26" s="145" t="str">
        <f>'D2'!F26</f>
        <v/>
      </c>
      <c r="E26" s="146" t="str">
        <f>'D2'!G26</f>
        <v/>
      </c>
      <c r="F26" s="114"/>
      <c r="G26" s="116"/>
      <c r="H26" s="116"/>
      <c r="I26" s="116"/>
      <c r="J26" s="116"/>
      <c r="K26" s="116"/>
      <c r="L26" s="116"/>
      <c r="M26" s="116"/>
      <c r="N26" s="118"/>
      <c r="O26" s="15"/>
      <c r="P26" s="148"/>
      <c r="Q26" s="119"/>
      <c r="R26" s="132"/>
      <c r="S26" s="119"/>
      <c r="T26" s="122"/>
      <c r="U26" s="119"/>
      <c r="V26" s="122"/>
      <c r="W26" s="119"/>
      <c r="X26" s="122"/>
      <c r="Y26" s="119"/>
      <c r="Z26" s="122"/>
      <c r="AA26" s="119"/>
      <c r="AB26" s="122"/>
      <c r="AC26" s="119"/>
      <c r="AD26" s="132"/>
      <c r="AE26" s="119"/>
      <c r="AF26" s="122"/>
      <c r="AG26" s="147"/>
      <c r="AH26" s="15"/>
      <c r="AI26" s="93"/>
      <c r="AJ26" s="15"/>
      <c r="AK26" s="93"/>
      <c r="AL26" s="15"/>
      <c r="AM26" s="96"/>
      <c r="AN26" s="151"/>
      <c r="AO26" s="125"/>
      <c r="AP26" s="126"/>
      <c r="AQ26" s="23"/>
      <c r="AR26" s="23"/>
      <c r="AS26" s="23"/>
      <c r="AT26" s="23"/>
      <c r="AU26" s="24" t="s">
        <v>159</v>
      </c>
      <c r="AV26" s="23"/>
      <c r="AW26" s="23"/>
      <c r="AX26" s="23"/>
      <c r="AY26" s="23"/>
      <c r="AZ26" s="103"/>
      <c r="BA26" s="23"/>
      <c r="BB26" s="23"/>
      <c r="BC26" s="23"/>
    </row>
    <row r="27" ht="15.0" customHeight="1">
      <c r="A27" s="3" t="str">
        <f>'D2'!D27</f>
        <v/>
      </c>
      <c r="B27" s="107">
        <f t="shared" si="1"/>
        <v>24</v>
      </c>
      <c r="C27" s="145" t="str">
        <f>'D2'!C27</f>
        <v/>
      </c>
      <c r="D27" s="145" t="str">
        <f>'D2'!F27</f>
        <v/>
      </c>
      <c r="E27" s="146" t="str">
        <f>'D2'!G27</f>
        <v/>
      </c>
      <c r="F27" s="114"/>
      <c r="G27" s="116"/>
      <c r="H27" s="116"/>
      <c r="I27" s="116"/>
      <c r="J27" s="116"/>
      <c r="K27" s="116"/>
      <c r="L27" s="116"/>
      <c r="M27" s="116"/>
      <c r="N27" s="118"/>
      <c r="O27" s="15"/>
      <c r="P27" s="148"/>
      <c r="Q27" s="119"/>
      <c r="R27" s="132"/>
      <c r="S27" s="119"/>
      <c r="T27" s="132"/>
      <c r="U27" s="119"/>
      <c r="V27" s="122"/>
      <c r="W27" s="119"/>
      <c r="X27" s="122"/>
      <c r="Y27" s="119"/>
      <c r="Z27" s="132"/>
      <c r="AA27" s="119"/>
      <c r="AB27" s="122"/>
      <c r="AC27" s="119"/>
      <c r="AD27" s="132"/>
      <c r="AE27" s="119"/>
      <c r="AF27" s="122"/>
      <c r="AG27" s="147"/>
      <c r="AH27" s="15"/>
      <c r="AI27" s="93"/>
      <c r="AJ27" s="15"/>
      <c r="AK27" s="93"/>
      <c r="AL27" s="15"/>
      <c r="AM27" s="96"/>
      <c r="AN27" s="151"/>
      <c r="AO27" s="125"/>
      <c r="AP27" s="126"/>
      <c r="AQ27" s="23"/>
      <c r="AR27" s="23"/>
      <c r="AS27" s="23"/>
      <c r="AT27" s="23"/>
      <c r="AU27" s="24" t="s">
        <v>160</v>
      </c>
      <c r="AV27" s="23"/>
      <c r="AW27" s="23"/>
      <c r="AX27" s="23"/>
      <c r="AY27" s="23"/>
      <c r="AZ27" s="103"/>
      <c r="BA27" s="23"/>
      <c r="BB27" s="23"/>
      <c r="BC27" s="23"/>
    </row>
    <row r="28" ht="15.0" customHeight="1">
      <c r="A28" s="3" t="str">
        <f>'D2'!D28</f>
        <v/>
      </c>
      <c r="B28" s="107">
        <f t="shared" si="1"/>
        <v>25</v>
      </c>
      <c r="C28" s="145" t="str">
        <f>'D2'!C28</f>
        <v/>
      </c>
      <c r="D28" s="145" t="str">
        <f>'D2'!F28</f>
        <v/>
      </c>
      <c r="E28" s="146" t="str">
        <f>'D2'!G28</f>
        <v/>
      </c>
      <c r="F28" s="114"/>
      <c r="G28" s="116"/>
      <c r="H28" s="116"/>
      <c r="I28" s="116"/>
      <c r="J28" s="116"/>
      <c r="K28" s="116"/>
      <c r="L28" s="116"/>
      <c r="M28" s="116"/>
      <c r="N28" s="118"/>
      <c r="O28" s="15"/>
      <c r="P28" s="148"/>
      <c r="Q28" s="119"/>
      <c r="R28" s="132"/>
      <c r="S28" s="119"/>
      <c r="T28" s="132"/>
      <c r="U28" s="119"/>
      <c r="V28" s="122"/>
      <c r="W28" s="119"/>
      <c r="X28" s="122"/>
      <c r="Y28" s="119"/>
      <c r="Z28" s="132"/>
      <c r="AA28" s="119"/>
      <c r="AB28" s="122"/>
      <c r="AC28" s="119"/>
      <c r="AD28" s="132"/>
      <c r="AE28" s="119"/>
      <c r="AF28" s="132"/>
      <c r="AG28" s="147"/>
      <c r="AH28" s="15"/>
      <c r="AI28" s="93"/>
      <c r="AJ28" s="15"/>
      <c r="AK28" s="93"/>
      <c r="AL28" s="15"/>
      <c r="AM28" s="96"/>
      <c r="AN28" s="151"/>
      <c r="AO28" s="125"/>
      <c r="AP28" s="126"/>
      <c r="AQ28" s="23"/>
      <c r="AR28" s="23"/>
      <c r="AS28" s="23"/>
      <c r="AT28" s="23"/>
      <c r="AU28" s="24" t="s">
        <v>161</v>
      </c>
      <c r="AV28" s="23"/>
      <c r="AW28" s="23"/>
      <c r="AX28" s="23"/>
      <c r="AY28" s="23"/>
      <c r="AZ28" s="103"/>
      <c r="BA28" s="23"/>
      <c r="BB28" s="23"/>
      <c r="BC28" s="23"/>
    </row>
    <row r="29" ht="15.0" customHeight="1">
      <c r="A29" s="3" t="str">
        <f>'D2'!D29</f>
        <v/>
      </c>
      <c r="B29" s="107">
        <f t="shared" si="1"/>
        <v>26</v>
      </c>
      <c r="C29" s="145" t="str">
        <f>'D2'!C29</f>
        <v/>
      </c>
      <c r="D29" s="145" t="str">
        <f>'D2'!F29</f>
        <v/>
      </c>
      <c r="E29" s="146" t="str">
        <f>'D2'!G29</f>
        <v/>
      </c>
      <c r="F29" s="114"/>
      <c r="G29" s="116"/>
      <c r="H29" s="116"/>
      <c r="I29" s="116"/>
      <c r="J29" s="116"/>
      <c r="K29" s="116"/>
      <c r="L29" s="116"/>
      <c r="M29" s="116"/>
      <c r="N29" s="118"/>
      <c r="O29" s="15"/>
      <c r="P29" s="148"/>
      <c r="Q29" s="121"/>
      <c r="R29" s="154"/>
      <c r="S29" s="121"/>
      <c r="T29" s="154"/>
      <c r="U29" s="121"/>
      <c r="V29" s="115"/>
      <c r="W29" s="121"/>
      <c r="X29" s="154"/>
      <c r="Y29" s="121"/>
      <c r="Z29" s="154"/>
      <c r="AA29" s="121"/>
      <c r="AB29" s="115"/>
      <c r="AC29" s="121"/>
      <c r="AD29" s="154"/>
      <c r="AE29" s="121"/>
      <c r="AF29" s="154"/>
      <c r="AG29" s="147"/>
      <c r="AH29" s="15"/>
      <c r="AI29" s="93"/>
      <c r="AJ29" s="15"/>
      <c r="AK29" s="93"/>
      <c r="AL29" s="15"/>
      <c r="AM29" s="96"/>
      <c r="AN29" s="156"/>
      <c r="AO29" s="125"/>
      <c r="AP29" s="126"/>
      <c r="AQ29" s="23"/>
      <c r="AR29" s="23"/>
      <c r="AS29" s="23"/>
      <c r="AT29" s="23"/>
      <c r="AU29" s="24" t="s">
        <v>162</v>
      </c>
      <c r="AV29" s="23"/>
      <c r="AW29" s="23"/>
      <c r="AX29" s="23"/>
      <c r="AY29" s="23"/>
      <c r="AZ29" s="103"/>
      <c r="BA29" s="23"/>
      <c r="BB29" s="23"/>
      <c r="BC29" s="23"/>
    </row>
    <row r="30" ht="15.0" customHeight="1">
      <c r="A30" s="3" t="str">
        <f>'D2'!D30</f>
        <v/>
      </c>
      <c r="B30" s="107">
        <f t="shared" si="1"/>
        <v>27</v>
      </c>
      <c r="C30" s="145" t="str">
        <f>'D2'!C30</f>
        <v/>
      </c>
      <c r="D30" s="145" t="str">
        <f>'D2'!F30</f>
        <v/>
      </c>
      <c r="E30" s="146" t="str">
        <f>'D2'!G30</f>
        <v/>
      </c>
      <c r="F30" s="114"/>
      <c r="G30" s="116"/>
      <c r="H30" s="116"/>
      <c r="I30" s="116"/>
      <c r="J30" s="116"/>
      <c r="K30" s="116"/>
      <c r="L30" s="116"/>
      <c r="M30" s="116"/>
      <c r="N30" s="118"/>
      <c r="O30" s="15"/>
      <c r="P30" s="148"/>
      <c r="Q30" s="121"/>
      <c r="R30" s="154"/>
      <c r="S30" s="121"/>
      <c r="T30" s="115"/>
      <c r="U30" s="121"/>
      <c r="V30" s="115"/>
      <c r="W30" s="121"/>
      <c r="X30" s="115"/>
      <c r="Y30" s="121"/>
      <c r="Z30" s="154"/>
      <c r="AA30" s="121"/>
      <c r="AB30" s="115"/>
      <c r="AC30" s="121"/>
      <c r="AD30" s="154"/>
      <c r="AE30" s="121"/>
      <c r="AF30" s="154"/>
      <c r="AG30" s="147"/>
      <c r="AH30" s="15"/>
      <c r="AI30" s="93"/>
      <c r="AJ30" s="15"/>
      <c r="AK30" s="93"/>
      <c r="AL30" s="15"/>
      <c r="AM30" s="96"/>
      <c r="AN30" s="156"/>
      <c r="AO30" s="158"/>
      <c r="AP30" s="159"/>
      <c r="AQ30" s="23"/>
      <c r="AR30" s="23"/>
      <c r="AS30" s="23"/>
      <c r="AT30" s="23"/>
      <c r="AU30" s="24" t="s">
        <v>163</v>
      </c>
      <c r="AV30" s="23"/>
      <c r="AW30" s="23"/>
      <c r="AX30" s="23"/>
      <c r="AY30" s="23"/>
      <c r="AZ30" s="103"/>
      <c r="BA30" s="23"/>
      <c r="BB30" s="23"/>
      <c r="BC30" s="23"/>
    </row>
    <row r="31" ht="15.0" customHeight="1">
      <c r="A31" s="3" t="str">
        <f>'D2'!D31</f>
        <v/>
      </c>
      <c r="B31" s="107">
        <f t="shared" si="1"/>
        <v>28</v>
      </c>
      <c r="C31" s="145" t="str">
        <f>'D2'!C31</f>
        <v/>
      </c>
      <c r="D31" s="145" t="str">
        <f>'D2'!F31</f>
        <v/>
      </c>
      <c r="E31" s="146" t="str">
        <f>'D2'!G31</f>
        <v/>
      </c>
      <c r="F31" s="114"/>
      <c r="G31" s="116"/>
      <c r="H31" s="116"/>
      <c r="I31" s="116"/>
      <c r="J31" s="116"/>
      <c r="K31" s="116"/>
      <c r="L31" s="116"/>
      <c r="M31" s="116"/>
      <c r="N31" s="118"/>
      <c r="O31" s="15"/>
      <c r="P31" s="148"/>
      <c r="Q31" s="160"/>
      <c r="R31" s="154"/>
      <c r="S31" s="137"/>
      <c r="T31" s="154"/>
      <c r="U31" s="121"/>
      <c r="V31" s="115"/>
      <c r="W31" s="121"/>
      <c r="X31" s="154"/>
      <c r="Y31" s="121"/>
      <c r="Z31" s="154"/>
      <c r="AA31" s="121"/>
      <c r="AB31" s="115"/>
      <c r="AC31" s="137"/>
      <c r="AD31" s="154"/>
      <c r="AE31" s="121"/>
      <c r="AF31" s="154"/>
      <c r="AG31" s="147"/>
      <c r="AH31" s="15"/>
      <c r="AI31" s="93"/>
      <c r="AJ31" s="15"/>
      <c r="AK31" s="93"/>
      <c r="AL31" s="15"/>
      <c r="AM31" s="96"/>
      <c r="AN31" s="156"/>
      <c r="AO31" s="161"/>
      <c r="AP31" s="159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ht="15.0" customHeight="1">
      <c r="A32" s="3" t="str">
        <f>'D2'!D32</f>
        <v/>
      </c>
      <c r="B32" s="107">
        <f t="shared" si="1"/>
        <v>29</v>
      </c>
      <c r="C32" s="145" t="str">
        <f>'D2'!C32</f>
        <v/>
      </c>
      <c r="D32" s="145" t="str">
        <f>'D2'!F32</f>
        <v/>
      </c>
      <c r="E32" s="146" t="str">
        <f>'D2'!G32</f>
        <v/>
      </c>
      <c r="F32" s="114"/>
      <c r="G32" s="116"/>
      <c r="H32" s="116"/>
      <c r="I32" s="116"/>
      <c r="J32" s="116"/>
      <c r="K32" s="116"/>
      <c r="L32" s="116"/>
      <c r="M32" s="116"/>
      <c r="N32" s="118"/>
      <c r="O32" s="15"/>
      <c r="P32" s="148"/>
      <c r="Q32" s="121"/>
      <c r="R32" s="154"/>
      <c r="S32" s="121"/>
      <c r="T32" s="154"/>
      <c r="U32" s="121"/>
      <c r="V32" s="115"/>
      <c r="W32" s="121"/>
      <c r="X32" s="115"/>
      <c r="Y32" s="121"/>
      <c r="Z32" s="154"/>
      <c r="AA32" s="121"/>
      <c r="AB32" s="115"/>
      <c r="AC32" s="121"/>
      <c r="AD32" s="115"/>
      <c r="AE32" s="121"/>
      <c r="AF32" s="154"/>
      <c r="AG32" s="147"/>
      <c r="AH32" s="15"/>
      <c r="AI32" s="93"/>
      <c r="AJ32" s="15"/>
      <c r="AK32" s="93"/>
      <c r="AL32" s="15"/>
      <c r="AM32" s="96"/>
      <c r="AN32" s="156"/>
      <c r="AO32" s="158"/>
      <c r="AP32" s="159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ht="15.0" customHeight="1">
      <c r="A33" s="3" t="str">
        <f>'D2'!D33</f>
        <v/>
      </c>
      <c r="B33" s="107">
        <f t="shared" si="1"/>
        <v>30</v>
      </c>
      <c r="C33" s="145" t="str">
        <f>'D2'!C33</f>
        <v/>
      </c>
      <c r="D33" s="145" t="str">
        <f>'D2'!F33</f>
        <v/>
      </c>
      <c r="E33" s="146" t="str">
        <f>'D2'!G33</f>
        <v/>
      </c>
      <c r="F33" s="114"/>
      <c r="G33" s="116"/>
      <c r="H33" s="116"/>
      <c r="I33" s="116"/>
      <c r="J33" s="116"/>
      <c r="K33" s="116"/>
      <c r="L33" s="116"/>
      <c r="M33" s="116"/>
      <c r="N33" s="118"/>
      <c r="O33" s="15"/>
      <c r="P33" s="148"/>
      <c r="Q33" s="137"/>
      <c r="R33" s="154"/>
      <c r="S33" s="121"/>
      <c r="T33" s="154"/>
      <c r="U33" s="121"/>
      <c r="V33" s="115"/>
      <c r="W33" s="121"/>
      <c r="X33" s="154"/>
      <c r="Y33" s="121"/>
      <c r="Z33" s="154"/>
      <c r="AA33" s="121"/>
      <c r="AB33" s="115"/>
      <c r="AC33" s="121"/>
      <c r="AD33" s="154"/>
      <c r="AE33" s="121"/>
      <c r="AF33" s="154"/>
      <c r="AG33" s="147"/>
      <c r="AH33" s="15"/>
      <c r="AI33" s="93"/>
      <c r="AJ33" s="15"/>
      <c r="AK33" s="93"/>
      <c r="AL33" s="15"/>
      <c r="AM33" s="96"/>
      <c r="AN33" s="156"/>
      <c r="AO33" s="158"/>
      <c r="AP33" s="159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ht="15.0" customHeight="1">
      <c r="A34" s="3" t="str">
        <f>'D2'!D34</f>
        <v/>
      </c>
      <c r="B34" s="107">
        <f t="shared" si="1"/>
        <v>31</v>
      </c>
      <c r="C34" s="145" t="str">
        <f>'D2'!C34</f>
        <v/>
      </c>
      <c r="D34" s="145" t="str">
        <f>'D2'!F34</f>
        <v/>
      </c>
      <c r="E34" s="146" t="str">
        <f>'D2'!G34</f>
        <v/>
      </c>
      <c r="F34" s="114"/>
      <c r="G34" s="116"/>
      <c r="H34" s="116"/>
      <c r="I34" s="116"/>
      <c r="J34" s="116"/>
      <c r="K34" s="116"/>
      <c r="L34" s="116"/>
      <c r="M34" s="116"/>
      <c r="N34" s="118"/>
      <c r="O34" s="15"/>
      <c r="P34" s="148"/>
      <c r="Q34" s="137"/>
      <c r="R34" s="154"/>
      <c r="S34" s="137"/>
      <c r="T34" s="154"/>
      <c r="U34" s="137"/>
      <c r="V34" s="115"/>
      <c r="W34" s="121"/>
      <c r="X34" s="154"/>
      <c r="Y34" s="121"/>
      <c r="Z34" s="154"/>
      <c r="AA34" s="121"/>
      <c r="AB34" s="115"/>
      <c r="AC34" s="121"/>
      <c r="AD34" s="154"/>
      <c r="AE34" s="121"/>
      <c r="AF34" s="154"/>
      <c r="AG34" s="147"/>
      <c r="AH34" s="15"/>
      <c r="AI34" s="93"/>
      <c r="AJ34" s="15"/>
      <c r="AK34" s="93"/>
      <c r="AL34" s="15"/>
      <c r="AM34" s="96"/>
      <c r="AN34" s="156"/>
      <c r="AO34" s="158"/>
      <c r="AP34" s="159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ht="15.0" customHeight="1">
      <c r="A35" s="3" t="str">
        <f>'D2'!D35</f>
        <v/>
      </c>
      <c r="B35" s="107">
        <f t="shared" si="1"/>
        <v>32</v>
      </c>
      <c r="C35" s="145" t="str">
        <f>'D2'!C35</f>
        <v/>
      </c>
      <c r="D35" s="145" t="str">
        <f>'D2'!F35</f>
        <v/>
      </c>
      <c r="E35" s="146" t="str">
        <f>'D2'!G35</f>
        <v/>
      </c>
      <c r="F35" s="114"/>
      <c r="G35" s="116"/>
      <c r="H35" s="116"/>
      <c r="I35" s="116"/>
      <c r="J35" s="116"/>
      <c r="K35" s="116"/>
      <c r="L35" s="116"/>
      <c r="M35" s="116"/>
      <c r="N35" s="118"/>
      <c r="O35" s="15"/>
      <c r="P35" s="148"/>
      <c r="Q35" s="137"/>
      <c r="R35" s="154"/>
      <c r="S35" s="137"/>
      <c r="T35" s="154"/>
      <c r="U35" s="137"/>
      <c r="V35" s="115"/>
      <c r="W35" s="121"/>
      <c r="X35" s="154"/>
      <c r="Y35" s="121"/>
      <c r="Z35" s="154"/>
      <c r="AA35" s="121"/>
      <c r="AB35" s="115"/>
      <c r="AC35" s="121"/>
      <c r="AD35" s="154"/>
      <c r="AE35" s="121"/>
      <c r="AF35" s="154"/>
      <c r="AG35" s="147"/>
      <c r="AH35" s="15"/>
      <c r="AI35" s="93"/>
      <c r="AJ35" s="15"/>
      <c r="AK35" s="93"/>
      <c r="AL35" s="15"/>
      <c r="AM35" s="96"/>
      <c r="AN35" s="156"/>
      <c r="AO35" s="158"/>
      <c r="AP35" s="159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ht="15.0" customHeight="1">
      <c r="A36" s="3" t="str">
        <f>'D2'!D36</f>
        <v/>
      </c>
      <c r="B36" s="107">
        <f t="shared" si="1"/>
        <v>33</v>
      </c>
      <c r="C36" s="145" t="str">
        <f>'D2'!C36</f>
        <v/>
      </c>
      <c r="D36" s="145" t="str">
        <f>'D2'!F36</f>
        <v/>
      </c>
      <c r="E36" s="146" t="str">
        <f>'D2'!G36</f>
        <v/>
      </c>
      <c r="F36" s="114"/>
      <c r="G36" s="116"/>
      <c r="H36" s="116"/>
      <c r="I36" s="116"/>
      <c r="J36" s="116"/>
      <c r="K36" s="116"/>
      <c r="L36" s="116"/>
      <c r="M36" s="116"/>
      <c r="N36" s="118"/>
      <c r="O36" s="15"/>
      <c r="P36" s="148"/>
      <c r="Q36" s="137"/>
      <c r="R36" s="154"/>
      <c r="S36" s="137"/>
      <c r="T36" s="154"/>
      <c r="U36" s="137"/>
      <c r="V36" s="115"/>
      <c r="W36" s="121"/>
      <c r="X36" s="154"/>
      <c r="Y36" s="121"/>
      <c r="Z36" s="154"/>
      <c r="AA36" s="121"/>
      <c r="AB36" s="115"/>
      <c r="AC36" s="121"/>
      <c r="AD36" s="154"/>
      <c r="AE36" s="121"/>
      <c r="AF36" s="154"/>
      <c r="AG36" s="147"/>
      <c r="AH36" s="15"/>
      <c r="AI36" s="93"/>
      <c r="AJ36" s="15"/>
      <c r="AK36" s="93"/>
      <c r="AL36" s="15"/>
      <c r="AM36" s="96"/>
      <c r="AN36" s="156"/>
      <c r="AO36" s="158"/>
      <c r="AP36" s="159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ht="15.0" customHeight="1">
      <c r="A37" s="3" t="str">
        <f>'D2'!D37</f>
        <v/>
      </c>
      <c r="B37" s="107">
        <f t="shared" si="1"/>
        <v>34</v>
      </c>
      <c r="C37" s="145" t="str">
        <f>'D2'!C37</f>
        <v/>
      </c>
      <c r="D37" s="145" t="str">
        <f>'D2'!F37</f>
        <v/>
      </c>
      <c r="E37" s="146" t="str">
        <f>'D2'!G37</f>
        <v/>
      </c>
      <c r="F37" s="114"/>
      <c r="G37" s="116"/>
      <c r="H37" s="116"/>
      <c r="I37" s="116"/>
      <c r="J37" s="116"/>
      <c r="K37" s="116"/>
      <c r="L37" s="116"/>
      <c r="M37" s="116"/>
      <c r="N37" s="118"/>
      <c r="O37" s="15"/>
      <c r="P37" s="148"/>
      <c r="Q37" s="137"/>
      <c r="R37" s="154"/>
      <c r="S37" s="168"/>
      <c r="T37" s="154"/>
      <c r="U37" s="137"/>
      <c r="V37" s="115"/>
      <c r="W37" s="121"/>
      <c r="X37" s="154"/>
      <c r="Y37" s="121"/>
      <c r="Z37" s="154"/>
      <c r="AA37" s="121"/>
      <c r="AB37" s="115"/>
      <c r="AC37" s="137"/>
      <c r="AD37" s="154"/>
      <c r="AE37" s="121"/>
      <c r="AF37" s="154"/>
      <c r="AG37" s="147"/>
      <c r="AH37" s="15"/>
      <c r="AI37" s="93"/>
      <c r="AJ37" s="15"/>
      <c r="AK37" s="93"/>
      <c r="AL37" s="15"/>
      <c r="AM37" s="96"/>
      <c r="AN37" s="156"/>
      <c r="AO37" s="158"/>
      <c r="AP37" s="159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ht="15.0" customHeight="1">
      <c r="A38" s="3" t="str">
        <f>'D2'!D38</f>
        <v/>
      </c>
      <c r="B38" s="107">
        <f t="shared" si="1"/>
        <v>35</v>
      </c>
      <c r="C38" s="145" t="str">
        <f>'D2'!C38</f>
        <v/>
      </c>
      <c r="D38" s="145" t="str">
        <f>'D2'!F38</f>
        <v/>
      </c>
      <c r="E38" s="146" t="str">
        <f>'D2'!G38</f>
        <v/>
      </c>
      <c r="F38" s="114"/>
      <c r="G38" s="116"/>
      <c r="H38" s="116"/>
      <c r="I38" s="116"/>
      <c r="J38" s="116"/>
      <c r="K38" s="116"/>
      <c r="L38" s="116"/>
      <c r="M38" s="116"/>
      <c r="N38" s="118"/>
      <c r="O38" s="15"/>
      <c r="P38" s="148"/>
      <c r="Q38" s="121"/>
      <c r="R38" s="154"/>
      <c r="S38" s="121"/>
      <c r="T38" s="115"/>
      <c r="U38" s="121"/>
      <c r="V38" s="115"/>
      <c r="W38" s="121"/>
      <c r="X38" s="115"/>
      <c r="Y38" s="121"/>
      <c r="Z38" s="154"/>
      <c r="AA38" s="121"/>
      <c r="AB38" s="115"/>
      <c r="AC38" s="121"/>
      <c r="AD38" s="154"/>
      <c r="AE38" s="121"/>
      <c r="AF38" s="154"/>
      <c r="AG38" s="147"/>
      <c r="AH38" s="15"/>
      <c r="AI38" s="93"/>
      <c r="AJ38" s="15"/>
      <c r="AK38" s="93"/>
      <c r="AL38" s="15"/>
      <c r="AM38" s="96"/>
      <c r="AN38" s="156"/>
      <c r="AO38" s="158"/>
      <c r="AP38" s="159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ht="15.0" customHeight="1">
      <c r="A39" s="3" t="str">
        <f>'D2'!D39</f>
        <v/>
      </c>
      <c r="B39" s="107">
        <f t="shared" si="1"/>
        <v>36</v>
      </c>
      <c r="C39" s="145" t="str">
        <f>'D2'!C39</f>
        <v/>
      </c>
      <c r="D39" s="145" t="str">
        <f>'D2'!F39</f>
        <v/>
      </c>
      <c r="E39" s="146" t="str">
        <f>'D2'!G39</f>
        <v/>
      </c>
      <c r="F39" s="114"/>
      <c r="G39" s="116"/>
      <c r="H39" s="116"/>
      <c r="I39" s="116"/>
      <c r="J39" s="116"/>
      <c r="K39" s="116"/>
      <c r="L39" s="116"/>
      <c r="M39" s="116"/>
      <c r="N39" s="118"/>
      <c r="O39" s="15"/>
      <c r="P39" s="148"/>
      <c r="Q39" s="168"/>
      <c r="R39" s="154"/>
      <c r="S39" s="160"/>
      <c r="T39" s="154"/>
      <c r="U39" s="137"/>
      <c r="V39" s="115"/>
      <c r="W39" s="121"/>
      <c r="X39" s="154"/>
      <c r="Y39" s="121"/>
      <c r="Z39" s="115"/>
      <c r="AA39" s="121"/>
      <c r="AB39" s="115"/>
      <c r="AC39" s="121"/>
      <c r="AD39" s="154"/>
      <c r="AE39" s="121"/>
      <c r="AF39" s="154"/>
      <c r="AG39" s="147"/>
      <c r="AH39" s="15"/>
      <c r="AI39" s="93"/>
      <c r="AJ39" s="15"/>
      <c r="AK39" s="93"/>
      <c r="AL39" s="15"/>
      <c r="AM39" s="96"/>
      <c r="AN39" s="156"/>
      <c r="AO39" s="161"/>
      <c r="AP39" s="159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ht="15.0" customHeight="1">
      <c r="A40" s="3" t="str">
        <f>'D2'!D40</f>
        <v/>
      </c>
      <c r="B40" s="107">
        <f t="shared" si="1"/>
        <v>37</v>
      </c>
      <c r="C40" s="145" t="str">
        <f>'D2'!C40</f>
        <v/>
      </c>
      <c r="D40" s="145" t="str">
        <f>'D2'!F40</f>
        <v/>
      </c>
      <c r="E40" s="146" t="str">
        <f>'D2'!G40</f>
        <v/>
      </c>
      <c r="F40" s="114"/>
      <c r="G40" s="116"/>
      <c r="H40" s="116"/>
      <c r="I40" s="116"/>
      <c r="J40" s="116"/>
      <c r="K40" s="116"/>
      <c r="L40" s="116"/>
      <c r="M40" s="116"/>
      <c r="N40" s="118"/>
      <c r="O40" s="15"/>
      <c r="P40" s="148"/>
      <c r="Q40" s="168"/>
      <c r="R40" s="154"/>
      <c r="S40" s="168"/>
      <c r="T40" s="154"/>
      <c r="U40" s="137"/>
      <c r="V40" s="115"/>
      <c r="W40" s="121"/>
      <c r="X40" s="154"/>
      <c r="Y40" s="121"/>
      <c r="Z40" s="154"/>
      <c r="AA40" s="121"/>
      <c r="AB40" s="115"/>
      <c r="AC40" s="137"/>
      <c r="AD40" s="154"/>
      <c r="AE40" s="121"/>
      <c r="AF40" s="154"/>
      <c r="AG40" s="147"/>
      <c r="AH40" s="15"/>
      <c r="AI40" s="93"/>
      <c r="AJ40" s="15"/>
      <c r="AK40" s="93"/>
      <c r="AL40" s="15"/>
      <c r="AM40" s="96"/>
      <c r="AN40" s="156"/>
      <c r="AO40" s="161"/>
      <c r="AP40" s="159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ht="15.0" customHeight="1">
      <c r="A41" s="3" t="str">
        <f>'D2'!D41</f>
        <v/>
      </c>
      <c r="B41" s="107">
        <f t="shared" si="1"/>
        <v>38</v>
      </c>
      <c r="C41" s="145" t="str">
        <f>'D2'!C41</f>
        <v/>
      </c>
      <c r="D41" s="145" t="str">
        <f>'D2'!F41</f>
        <v/>
      </c>
      <c r="E41" s="146" t="str">
        <f>'D2'!G41</f>
        <v/>
      </c>
      <c r="F41" s="114"/>
      <c r="G41" s="116"/>
      <c r="H41" s="116"/>
      <c r="I41" s="116"/>
      <c r="J41" s="116"/>
      <c r="K41" s="116"/>
      <c r="L41" s="116"/>
      <c r="M41" s="116"/>
      <c r="N41" s="118"/>
      <c r="O41" s="15"/>
      <c r="P41" s="148"/>
      <c r="Q41" s="160"/>
      <c r="R41" s="154"/>
      <c r="S41" s="137"/>
      <c r="T41" s="154"/>
      <c r="U41" s="137"/>
      <c r="V41" s="115"/>
      <c r="W41" s="121"/>
      <c r="X41" s="154"/>
      <c r="Y41" s="121"/>
      <c r="Z41" s="154"/>
      <c r="AA41" s="121"/>
      <c r="AB41" s="115"/>
      <c r="AC41" s="137"/>
      <c r="AD41" s="154"/>
      <c r="AE41" s="121"/>
      <c r="AF41" s="154"/>
      <c r="AG41" s="147"/>
      <c r="AH41" s="15"/>
      <c r="AI41" s="93"/>
      <c r="AJ41" s="15"/>
      <c r="AK41" s="93"/>
      <c r="AL41" s="15"/>
      <c r="AM41" s="96"/>
      <c r="AN41" s="156"/>
      <c r="AO41" s="161"/>
      <c r="AP41" s="159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ht="15.0" customHeight="1">
      <c r="A42" s="3" t="str">
        <f>'D2'!D42</f>
        <v/>
      </c>
      <c r="B42" s="107">
        <f t="shared" si="1"/>
        <v>39</v>
      </c>
      <c r="C42" s="145" t="str">
        <f>'D2'!C42</f>
        <v/>
      </c>
      <c r="D42" s="145" t="str">
        <f>'D2'!F42</f>
        <v/>
      </c>
      <c r="E42" s="146" t="str">
        <f>'D2'!G42</f>
        <v/>
      </c>
      <c r="F42" s="114"/>
      <c r="G42" s="116"/>
      <c r="H42" s="116"/>
      <c r="I42" s="116"/>
      <c r="J42" s="116"/>
      <c r="K42" s="116"/>
      <c r="L42" s="116"/>
      <c r="M42" s="116"/>
      <c r="N42" s="118"/>
      <c r="O42" s="15"/>
      <c r="P42" s="148"/>
      <c r="Q42" s="160"/>
      <c r="R42" s="154"/>
      <c r="S42" s="121"/>
      <c r="T42" s="154"/>
      <c r="U42" s="121"/>
      <c r="V42" s="115"/>
      <c r="W42" s="121"/>
      <c r="X42" s="154"/>
      <c r="Y42" s="121"/>
      <c r="Z42" s="115"/>
      <c r="AA42" s="121"/>
      <c r="AB42" s="115"/>
      <c r="AC42" s="137"/>
      <c r="AD42" s="154"/>
      <c r="AE42" s="121"/>
      <c r="AF42" s="154"/>
      <c r="AG42" s="147"/>
      <c r="AH42" s="15"/>
      <c r="AI42" s="93"/>
      <c r="AJ42" s="15"/>
      <c r="AK42" s="93"/>
      <c r="AL42" s="15"/>
      <c r="AM42" s="96"/>
      <c r="AN42" s="156"/>
      <c r="AO42" s="161"/>
      <c r="AP42" s="159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ht="15.0" customHeight="1">
      <c r="A43" s="3" t="str">
        <f>'D2'!D43</f>
        <v/>
      </c>
      <c r="B43" s="107">
        <f t="shared" si="1"/>
        <v>40</v>
      </c>
      <c r="C43" s="145" t="str">
        <f>'D2'!C43</f>
        <v/>
      </c>
      <c r="D43" s="145" t="str">
        <f>'D2'!F43</f>
        <v/>
      </c>
      <c r="E43" s="146" t="str">
        <f>'D2'!G43</f>
        <v/>
      </c>
      <c r="F43" s="114"/>
      <c r="G43" s="116"/>
      <c r="H43" s="116"/>
      <c r="I43" s="116"/>
      <c r="J43" s="116"/>
      <c r="K43" s="116"/>
      <c r="L43" s="116"/>
      <c r="M43" s="116"/>
      <c r="N43" s="118"/>
      <c r="O43" s="15"/>
      <c r="P43" s="148"/>
      <c r="Q43" s="137"/>
      <c r="R43" s="154"/>
      <c r="S43" s="137"/>
      <c r="T43" s="154"/>
      <c r="U43" s="137"/>
      <c r="V43" s="115"/>
      <c r="W43" s="121"/>
      <c r="X43" s="154"/>
      <c r="Y43" s="121"/>
      <c r="Z43" s="115"/>
      <c r="AA43" s="121"/>
      <c r="AB43" s="115"/>
      <c r="AC43" s="137"/>
      <c r="AD43" s="154"/>
      <c r="AE43" s="121"/>
      <c r="AF43" s="154"/>
      <c r="AG43" s="147"/>
      <c r="AH43" s="15"/>
      <c r="AI43" s="93"/>
      <c r="AJ43" s="15"/>
      <c r="AK43" s="93"/>
      <c r="AL43" s="15"/>
      <c r="AM43" s="96"/>
      <c r="AN43" s="156"/>
      <c r="AO43" s="161"/>
      <c r="AP43" s="159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ht="15.0" customHeight="1">
      <c r="A44" s="3" t="str">
        <f>'D2'!D44</f>
        <v/>
      </c>
      <c r="B44" s="107">
        <f t="shared" si="1"/>
        <v>41</v>
      </c>
      <c r="C44" s="145" t="str">
        <f>'D2'!C44</f>
        <v/>
      </c>
      <c r="D44" s="145" t="str">
        <f>'D2'!F44</f>
        <v/>
      </c>
      <c r="E44" s="146" t="str">
        <f>'D2'!G44</f>
        <v/>
      </c>
      <c r="F44" s="114"/>
      <c r="G44" s="116"/>
      <c r="H44" s="116"/>
      <c r="I44" s="116"/>
      <c r="J44" s="116"/>
      <c r="K44" s="116"/>
      <c r="L44" s="116"/>
      <c r="M44" s="116"/>
      <c r="N44" s="118"/>
      <c r="O44" s="15"/>
      <c r="P44" s="148"/>
      <c r="Q44" s="137"/>
      <c r="R44" s="154"/>
      <c r="S44" s="160"/>
      <c r="T44" s="154"/>
      <c r="U44" s="137"/>
      <c r="V44" s="115"/>
      <c r="W44" s="121"/>
      <c r="X44" s="154"/>
      <c r="Y44" s="121"/>
      <c r="Z44" s="154"/>
      <c r="AA44" s="121"/>
      <c r="AB44" s="115"/>
      <c r="AC44" s="137"/>
      <c r="AD44" s="154"/>
      <c r="AE44" s="121"/>
      <c r="AF44" s="154"/>
      <c r="AG44" s="147"/>
      <c r="AH44" s="15"/>
      <c r="AI44" s="93"/>
      <c r="AJ44" s="15"/>
      <c r="AK44" s="93"/>
      <c r="AL44" s="15"/>
      <c r="AM44" s="96"/>
      <c r="AN44" s="156"/>
      <c r="AO44" s="161"/>
      <c r="AP44" s="159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ht="15.0" customHeight="1">
      <c r="A45" s="3" t="str">
        <f>'D2'!D45</f>
        <v/>
      </c>
      <c r="B45" s="107">
        <f t="shared" si="1"/>
        <v>42</v>
      </c>
      <c r="C45" s="145" t="str">
        <f>'D2'!C45</f>
        <v/>
      </c>
      <c r="D45" s="145" t="str">
        <f>'D2'!F45</f>
        <v/>
      </c>
      <c r="E45" s="146" t="str">
        <f>'D2'!G45</f>
        <v/>
      </c>
      <c r="F45" s="114"/>
      <c r="G45" s="116"/>
      <c r="H45" s="116"/>
      <c r="I45" s="116"/>
      <c r="J45" s="116"/>
      <c r="K45" s="116"/>
      <c r="L45" s="116"/>
      <c r="M45" s="116"/>
      <c r="N45" s="118"/>
      <c r="O45" s="15"/>
      <c r="P45" s="148"/>
      <c r="Q45" s="137"/>
      <c r="R45" s="154"/>
      <c r="S45" s="121"/>
      <c r="T45" s="115"/>
      <c r="U45" s="121"/>
      <c r="V45" s="115"/>
      <c r="W45" s="121"/>
      <c r="X45" s="154"/>
      <c r="Y45" s="121"/>
      <c r="Z45" s="154"/>
      <c r="AA45" s="121"/>
      <c r="AB45" s="115"/>
      <c r="AC45" s="137"/>
      <c r="AD45" s="154"/>
      <c r="AE45" s="121"/>
      <c r="AF45" s="154"/>
      <c r="AG45" s="147"/>
      <c r="AH45" s="15"/>
      <c r="AI45" s="93"/>
      <c r="AJ45" s="15"/>
      <c r="AK45" s="93"/>
      <c r="AL45" s="15"/>
      <c r="AM45" s="96"/>
      <c r="AN45" s="156"/>
      <c r="AO45" s="161"/>
      <c r="AP45" s="159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ht="15.0" customHeight="1">
      <c r="A46" s="3" t="str">
        <f>'D2'!D46</f>
        <v/>
      </c>
      <c r="B46" s="107">
        <f t="shared" si="1"/>
        <v>43</v>
      </c>
      <c r="C46" s="145" t="str">
        <f>'D2'!C46</f>
        <v/>
      </c>
      <c r="D46" s="145" t="str">
        <f>'D2'!F46</f>
        <v/>
      </c>
      <c r="E46" s="146" t="str">
        <f>'D2'!G46</f>
        <v/>
      </c>
      <c r="F46" s="114"/>
      <c r="G46" s="116"/>
      <c r="H46" s="116"/>
      <c r="I46" s="116"/>
      <c r="J46" s="116"/>
      <c r="K46" s="116"/>
      <c r="L46" s="116"/>
      <c r="M46" s="116"/>
      <c r="N46" s="118"/>
      <c r="O46" s="15"/>
      <c r="P46" s="148"/>
      <c r="Q46" s="137"/>
      <c r="R46" s="154"/>
      <c r="S46" s="137"/>
      <c r="T46" s="154"/>
      <c r="U46" s="137"/>
      <c r="V46" s="115"/>
      <c r="W46" s="121"/>
      <c r="X46" s="154"/>
      <c r="Y46" s="121"/>
      <c r="Z46" s="154"/>
      <c r="AA46" s="121"/>
      <c r="AB46" s="115"/>
      <c r="AC46" s="121"/>
      <c r="AD46" s="154"/>
      <c r="AE46" s="121"/>
      <c r="AF46" s="154"/>
      <c r="AG46" s="147"/>
      <c r="AH46" s="15"/>
      <c r="AI46" s="93"/>
      <c r="AJ46" s="15"/>
      <c r="AK46" s="93"/>
      <c r="AL46" s="15"/>
      <c r="AM46" s="96"/>
      <c r="AN46" s="156"/>
      <c r="AO46" s="161"/>
      <c r="AP46" s="159"/>
      <c r="AQ46" s="23"/>
      <c r="AR46" s="23"/>
      <c r="AS46" s="23"/>
      <c r="AT46" s="23"/>
      <c r="AV46" s="23"/>
      <c r="AW46" s="23"/>
      <c r="AX46" s="23"/>
      <c r="AY46" s="23"/>
      <c r="AZ46" s="23"/>
      <c r="BA46" s="23"/>
      <c r="BB46" s="23"/>
      <c r="BC46" s="23"/>
    </row>
    <row r="47" ht="15.0" customHeight="1">
      <c r="A47" s="3" t="str">
        <f>'D2'!D47</f>
        <v/>
      </c>
      <c r="B47" s="172">
        <v>44.0</v>
      </c>
      <c r="C47" s="145" t="str">
        <f>'D2'!C47</f>
        <v/>
      </c>
      <c r="D47" s="145" t="str">
        <f>'D2'!F47</f>
        <v/>
      </c>
      <c r="E47" s="146" t="str">
        <f>'D2'!G47</f>
        <v/>
      </c>
      <c r="F47" s="114"/>
      <c r="G47" s="116"/>
      <c r="H47" s="116"/>
      <c r="I47" s="116"/>
      <c r="J47" s="116"/>
      <c r="K47" s="116"/>
      <c r="L47" s="116"/>
      <c r="M47" s="116"/>
      <c r="N47" s="118"/>
      <c r="O47" s="15"/>
      <c r="P47" s="148"/>
      <c r="Q47" s="137"/>
      <c r="R47" s="154"/>
      <c r="S47" s="137"/>
      <c r="T47" s="154"/>
      <c r="U47" s="137"/>
      <c r="V47" s="115"/>
      <c r="W47" s="121"/>
      <c r="X47" s="154"/>
      <c r="Y47" s="121"/>
      <c r="Z47" s="154"/>
      <c r="AA47" s="121"/>
      <c r="AB47" s="115"/>
      <c r="AC47" s="137"/>
      <c r="AD47" s="154"/>
      <c r="AE47" s="121"/>
      <c r="AF47" s="154"/>
      <c r="AG47" s="147"/>
      <c r="AH47" s="15"/>
      <c r="AI47" s="93"/>
      <c r="AJ47" s="15"/>
      <c r="AK47" s="93"/>
      <c r="AL47" s="15"/>
      <c r="AM47" s="96"/>
      <c r="AN47" s="156"/>
      <c r="AO47" s="161"/>
      <c r="AP47" s="159"/>
      <c r="AQ47" s="23"/>
      <c r="AR47" s="23"/>
      <c r="AS47" s="23"/>
      <c r="AT47" s="23"/>
      <c r="AV47" s="23"/>
      <c r="AW47" s="23"/>
      <c r="AX47" s="23"/>
      <c r="AY47" s="23"/>
      <c r="AZ47" s="23"/>
      <c r="BA47" s="23"/>
      <c r="BB47" s="23"/>
      <c r="BC47" s="23"/>
    </row>
    <row r="48" ht="15.0" customHeight="1">
      <c r="A48" s="3" t="str">
        <f>'D2'!D48</f>
        <v/>
      </c>
      <c r="B48" s="172">
        <v>45.0</v>
      </c>
      <c r="C48" s="145" t="str">
        <f>'D2'!C48</f>
        <v/>
      </c>
      <c r="D48" s="145" t="str">
        <f>'D2'!F48</f>
        <v/>
      </c>
      <c r="E48" s="146" t="str">
        <f>'D2'!G48</f>
        <v/>
      </c>
      <c r="F48" s="114"/>
      <c r="G48" s="116"/>
      <c r="H48" s="116"/>
      <c r="I48" s="116"/>
      <c r="J48" s="116"/>
      <c r="K48" s="116"/>
      <c r="L48" s="116"/>
      <c r="M48" s="116"/>
      <c r="N48" s="118"/>
      <c r="O48" s="15"/>
      <c r="P48" s="148"/>
      <c r="Q48" s="168"/>
      <c r="R48" s="154"/>
      <c r="S48" s="168"/>
      <c r="T48" s="154"/>
      <c r="U48" s="137"/>
      <c r="V48" s="115"/>
      <c r="W48" s="121"/>
      <c r="X48" s="154"/>
      <c r="Y48" s="121"/>
      <c r="Z48" s="154"/>
      <c r="AA48" s="121"/>
      <c r="AB48" s="115"/>
      <c r="AC48" s="137"/>
      <c r="AD48" s="154"/>
      <c r="AE48" s="121"/>
      <c r="AF48" s="154"/>
      <c r="AG48" s="147"/>
      <c r="AH48" s="15"/>
      <c r="AI48" s="93"/>
      <c r="AJ48" s="15"/>
      <c r="AK48" s="93"/>
      <c r="AL48" s="15"/>
      <c r="AM48" s="96"/>
      <c r="AN48" s="156"/>
      <c r="AO48" s="161"/>
      <c r="AP48" s="159"/>
      <c r="AQ48" s="23"/>
      <c r="AR48" s="23"/>
      <c r="AS48" s="23"/>
      <c r="AT48" s="23"/>
      <c r="AV48" s="23"/>
      <c r="AW48" s="23"/>
      <c r="AX48" s="23"/>
      <c r="AY48" s="23"/>
      <c r="AZ48" s="23"/>
      <c r="BA48" s="23"/>
      <c r="BB48" s="23"/>
      <c r="BC48" s="23"/>
    </row>
    <row r="49" ht="15.0" customHeight="1">
      <c r="A49" s="3" t="str">
        <f>'D2'!D49</f>
        <v/>
      </c>
      <c r="B49" s="172">
        <v>46.0</v>
      </c>
      <c r="C49" s="145" t="str">
        <f>'D2'!C49</f>
        <v/>
      </c>
      <c r="D49" s="145" t="str">
        <f>'D2'!F49</f>
        <v/>
      </c>
      <c r="E49" s="146" t="str">
        <f>'D2'!G49</f>
        <v/>
      </c>
      <c r="F49" s="114"/>
      <c r="G49" s="116"/>
      <c r="H49" s="116"/>
      <c r="I49" s="116"/>
      <c r="J49" s="116"/>
      <c r="K49" s="116"/>
      <c r="L49" s="116"/>
      <c r="M49" s="116"/>
      <c r="N49" s="118"/>
      <c r="O49" s="15"/>
      <c r="P49" s="148"/>
      <c r="Q49" s="137"/>
      <c r="R49" s="154"/>
      <c r="S49" s="137"/>
      <c r="T49" s="154"/>
      <c r="U49" s="137"/>
      <c r="V49" s="115"/>
      <c r="W49" s="121"/>
      <c r="X49" s="154"/>
      <c r="Y49" s="121"/>
      <c r="Z49" s="154"/>
      <c r="AA49" s="121"/>
      <c r="AB49" s="115"/>
      <c r="AC49" s="137"/>
      <c r="AD49" s="154"/>
      <c r="AE49" s="121"/>
      <c r="AF49" s="154"/>
      <c r="AG49" s="147"/>
      <c r="AH49" s="15"/>
      <c r="AI49" s="93"/>
      <c r="AJ49" s="15"/>
      <c r="AK49" s="93"/>
      <c r="AL49" s="15"/>
      <c r="AM49" s="96"/>
      <c r="AN49" s="156"/>
      <c r="AO49" s="161"/>
      <c r="AP49" s="159"/>
      <c r="AQ49" s="23"/>
      <c r="AR49" s="23"/>
      <c r="AS49" s="23"/>
      <c r="AT49" s="23"/>
      <c r="AV49" s="23"/>
      <c r="AW49" s="23"/>
      <c r="AX49" s="23"/>
      <c r="AY49" s="23"/>
      <c r="AZ49" s="23"/>
      <c r="BA49" s="23"/>
      <c r="BB49" s="23"/>
      <c r="BC49" s="23"/>
    </row>
    <row r="50" ht="15.0" customHeight="1">
      <c r="A50" s="3" t="str">
        <f>'D2'!D50</f>
        <v/>
      </c>
      <c r="B50" s="172">
        <v>47.0</v>
      </c>
      <c r="C50" s="145" t="str">
        <f>'D2'!C50</f>
        <v/>
      </c>
      <c r="D50" s="145" t="str">
        <f>'D2'!F50</f>
        <v/>
      </c>
      <c r="E50" s="146" t="str">
        <f>'D2'!G50</f>
        <v/>
      </c>
      <c r="F50" s="114"/>
      <c r="G50" s="116"/>
      <c r="H50" s="116"/>
      <c r="I50" s="116"/>
      <c r="J50" s="116"/>
      <c r="K50" s="116"/>
      <c r="L50" s="116"/>
      <c r="M50" s="116"/>
      <c r="N50" s="118"/>
      <c r="O50" s="15"/>
      <c r="P50" s="148"/>
      <c r="Q50" s="160"/>
      <c r="R50" s="154"/>
      <c r="S50" s="160"/>
      <c r="T50" s="154"/>
      <c r="U50" s="121"/>
      <c r="V50" s="115"/>
      <c r="W50" s="121"/>
      <c r="X50" s="154"/>
      <c r="Y50" s="121"/>
      <c r="Z50" s="154"/>
      <c r="AA50" s="121"/>
      <c r="AB50" s="115"/>
      <c r="AC50" s="121"/>
      <c r="AD50" s="154"/>
      <c r="AE50" s="121"/>
      <c r="AF50" s="154"/>
      <c r="AG50" s="147"/>
      <c r="AH50" s="15"/>
      <c r="AI50" s="93"/>
      <c r="AJ50" s="15"/>
      <c r="AK50" s="93"/>
      <c r="AL50" s="15"/>
      <c r="AM50" s="96"/>
      <c r="AN50" s="156"/>
      <c r="AO50" s="161"/>
      <c r="AP50" s="159"/>
      <c r="AQ50" s="23"/>
      <c r="AR50" s="23"/>
      <c r="AS50" s="23"/>
      <c r="AT50" s="23"/>
      <c r="AV50" s="23"/>
      <c r="AW50" s="23"/>
      <c r="AX50" s="23"/>
      <c r="AY50" s="23"/>
      <c r="AZ50" s="23"/>
      <c r="BA50" s="23"/>
      <c r="BB50" s="23"/>
      <c r="BC50" s="23"/>
    </row>
    <row r="51" ht="15.0" customHeight="1">
      <c r="A51" s="3" t="str">
        <f>'D2'!D51</f>
        <v/>
      </c>
      <c r="B51" s="172">
        <v>48.0</v>
      </c>
      <c r="C51" s="145" t="str">
        <f>'D2'!C51</f>
        <v/>
      </c>
      <c r="D51" s="145" t="str">
        <f>'D2'!F51</f>
        <v/>
      </c>
      <c r="E51" s="146" t="str">
        <f>'D2'!G51</f>
        <v/>
      </c>
      <c r="F51" s="114"/>
      <c r="G51" s="116"/>
      <c r="H51" s="116"/>
      <c r="I51" s="116"/>
      <c r="J51" s="116"/>
      <c r="K51" s="116"/>
      <c r="L51" s="116"/>
      <c r="M51" s="116"/>
      <c r="N51" s="118"/>
      <c r="O51" s="15"/>
      <c r="P51" s="148"/>
      <c r="Q51" s="137"/>
      <c r="R51" s="154"/>
      <c r="S51" s="137"/>
      <c r="T51" s="115"/>
      <c r="U51" s="121"/>
      <c r="V51" s="115"/>
      <c r="W51" s="121"/>
      <c r="X51" s="154"/>
      <c r="Y51" s="121"/>
      <c r="Z51" s="154"/>
      <c r="AA51" s="121"/>
      <c r="AB51" s="115"/>
      <c r="AC51" s="137"/>
      <c r="AD51" s="154"/>
      <c r="AE51" s="121"/>
      <c r="AF51" s="154"/>
      <c r="AG51" s="147"/>
      <c r="AH51" s="15"/>
      <c r="AI51" s="93"/>
      <c r="AJ51" s="15"/>
      <c r="AK51" s="93"/>
      <c r="AL51" s="15"/>
      <c r="AM51" s="96"/>
      <c r="AN51" s="156"/>
      <c r="AO51" s="161"/>
      <c r="AP51" s="159"/>
      <c r="AQ51" s="23"/>
      <c r="AR51" s="23"/>
      <c r="AS51" s="23"/>
      <c r="AT51" s="23"/>
      <c r="AV51" s="23"/>
      <c r="AW51" s="23"/>
      <c r="AX51" s="23"/>
      <c r="AY51" s="23"/>
      <c r="AZ51" s="23"/>
      <c r="BA51" s="23"/>
      <c r="BB51" s="23"/>
      <c r="BC51" s="23"/>
    </row>
    <row r="52" ht="15.0" customHeight="1">
      <c r="A52" s="3" t="str">
        <f>'D2'!D52</f>
        <v/>
      </c>
      <c r="B52" s="172">
        <v>49.0</v>
      </c>
      <c r="C52" s="145" t="str">
        <f>'D2'!C52</f>
        <v/>
      </c>
      <c r="D52" s="145" t="str">
        <f>'D2'!F52</f>
        <v/>
      </c>
      <c r="E52" s="146" t="str">
        <f>'D2'!G52</f>
        <v/>
      </c>
      <c r="F52" s="114"/>
      <c r="G52" s="116"/>
      <c r="H52" s="116"/>
      <c r="I52" s="116"/>
      <c r="J52" s="116"/>
      <c r="K52" s="116"/>
      <c r="L52" s="116"/>
      <c r="M52" s="116"/>
      <c r="N52" s="118"/>
      <c r="O52" s="15"/>
      <c r="P52" s="148"/>
      <c r="Q52" s="137"/>
      <c r="R52" s="154"/>
      <c r="S52" s="137"/>
      <c r="T52" s="115"/>
      <c r="U52" s="121"/>
      <c r="V52" s="115"/>
      <c r="W52" s="121"/>
      <c r="X52" s="154"/>
      <c r="Y52" s="121"/>
      <c r="Z52" s="154"/>
      <c r="AA52" s="121"/>
      <c r="AB52" s="115"/>
      <c r="AC52" s="137"/>
      <c r="AD52" s="154"/>
      <c r="AE52" s="121"/>
      <c r="AF52" s="154"/>
      <c r="AG52" s="147"/>
      <c r="AH52" s="15"/>
      <c r="AI52" s="93"/>
      <c r="AJ52" s="15"/>
      <c r="AK52" s="93"/>
      <c r="AL52" s="15"/>
      <c r="AM52" s="96"/>
      <c r="AN52" s="156"/>
      <c r="AO52" s="161"/>
      <c r="AP52" s="159"/>
      <c r="AQ52" s="23"/>
      <c r="AR52" s="23"/>
      <c r="AS52" s="23"/>
      <c r="AT52" s="23"/>
      <c r="AV52" s="23"/>
      <c r="AW52" s="23"/>
      <c r="AX52" s="23"/>
      <c r="AY52" s="23"/>
      <c r="AZ52" s="23"/>
      <c r="BA52" s="23"/>
      <c r="BB52" s="23"/>
      <c r="BC52" s="23"/>
    </row>
    <row r="53" ht="15.0" customHeight="1">
      <c r="A53" s="3" t="str">
        <f>'D2'!D53</f>
        <v/>
      </c>
      <c r="B53" s="172">
        <v>50.0</v>
      </c>
      <c r="C53" s="145" t="str">
        <f>'D2'!C53</f>
        <v/>
      </c>
      <c r="D53" s="145" t="str">
        <f>'D2'!F53</f>
        <v/>
      </c>
      <c r="E53" s="146" t="str">
        <f>'D2'!G53</f>
        <v/>
      </c>
      <c r="F53" s="114"/>
      <c r="G53" s="116"/>
      <c r="H53" s="116"/>
      <c r="I53" s="116"/>
      <c r="J53" s="116"/>
      <c r="K53" s="116"/>
      <c r="L53" s="116"/>
      <c r="M53" s="116"/>
      <c r="N53" s="118"/>
      <c r="O53" s="15"/>
      <c r="P53" s="148"/>
      <c r="Q53" s="137"/>
      <c r="R53" s="154"/>
      <c r="S53" s="137"/>
      <c r="T53" s="115"/>
      <c r="U53" s="121"/>
      <c r="V53" s="115"/>
      <c r="W53" s="121"/>
      <c r="X53" s="154"/>
      <c r="Y53" s="121"/>
      <c r="Z53" s="154"/>
      <c r="AA53" s="121"/>
      <c r="AB53" s="115"/>
      <c r="AC53" s="137"/>
      <c r="AD53" s="154"/>
      <c r="AE53" s="121"/>
      <c r="AF53" s="154"/>
      <c r="AG53" s="147"/>
      <c r="AH53" s="15"/>
      <c r="AI53" s="93"/>
      <c r="AJ53" s="15"/>
      <c r="AK53" s="93"/>
      <c r="AL53" s="15"/>
      <c r="AM53" s="96"/>
      <c r="AN53" s="156"/>
      <c r="AO53" s="161"/>
      <c r="AP53" s="159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ht="15.0" customHeight="1">
      <c r="A54" s="3" t="str">
        <f>'D2'!D54</f>
        <v/>
      </c>
      <c r="B54" s="172">
        <v>51.0</v>
      </c>
      <c r="C54" s="145" t="str">
        <f>'D2'!C54</f>
        <v/>
      </c>
      <c r="D54" s="145" t="str">
        <f>'D2'!F54</f>
        <v/>
      </c>
      <c r="E54" s="146" t="str">
        <f>'D2'!G54</f>
        <v/>
      </c>
      <c r="F54" s="114"/>
      <c r="G54" s="116"/>
      <c r="H54" s="116"/>
      <c r="I54" s="116"/>
      <c r="J54" s="116"/>
      <c r="K54" s="116"/>
      <c r="L54" s="116"/>
      <c r="M54" s="116"/>
      <c r="N54" s="118"/>
      <c r="O54" s="15"/>
      <c r="P54" s="148"/>
      <c r="Q54" s="137"/>
      <c r="R54" s="154"/>
      <c r="S54" s="137"/>
      <c r="T54" s="115"/>
      <c r="U54" s="121"/>
      <c r="V54" s="115"/>
      <c r="W54" s="121"/>
      <c r="X54" s="154"/>
      <c r="Y54" s="121"/>
      <c r="Z54" s="154"/>
      <c r="AA54" s="121"/>
      <c r="AB54" s="115"/>
      <c r="AC54" s="137"/>
      <c r="AD54" s="154"/>
      <c r="AE54" s="121"/>
      <c r="AF54" s="154"/>
      <c r="AG54" s="147"/>
      <c r="AH54" s="15"/>
      <c r="AI54" s="93"/>
      <c r="AJ54" s="15"/>
      <c r="AK54" s="93"/>
      <c r="AL54" s="15"/>
      <c r="AM54" s="96"/>
      <c r="AN54" s="156"/>
      <c r="AO54" s="161"/>
      <c r="AP54" s="159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ht="15.0" customHeight="1">
      <c r="A55" s="3" t="str">
        <f>'D2'!D55</f>
        <v/>
      </c>
      <c r="B55" s="172">
        <v>52.0</v>
      </c>
      <c r="C55" s="145" t="str">
        <f>'D2'!C55</f>
        <v/>
      </c>
      <c r="D55" s="145" t="str">
        <f>'D2'!F55</f>
        <v/>
      </c>
      <c r="E55" s="146" t="str">
        <f>'D2'!G55</f>
        <v/>
      </c>
      <c r="F55" s="114"/>
      <c r="G55" s="116"/>
      <c r="H55" s="116"/>
      <c r="I55" s="116"/>
      <c r="J55" s="116"/>
      <c r="K55" s="116"/>
      <c r="L55" s="116"/>
      <c r="M55" s="116"/>
      <c r="N55" s="118"/>
      <c r="O55" s="15"/>
      <c r="P55" s="148"/>
      <c r="Q55" s="137"/>
      <c r="R55" s="154"/>
      <c r="S55" s="137"/>
      <c r="T55" s="115"/>
      <c r="U55" s="121"/>
      <c r="V55" s="115"/>
      <c r="W55" s="121"/>
      <c r="X55" s="154"/>
      <c r="Y55" s="121"/>
      <c r="Z55" s="154"/>
      <c r="AA55" s="121"/>
      <c r="AB55" s="115"/>
      <c r="AC55" s="137"/>
      <c r="AD55" s="154"/>
      <c r="AE55" s="121"/>
      <c r="AF55" s="154"/>
      <c r="AG55" s="147"/>
      <c r="AH55" s="15"/>
      <c r="AI55" s="93"/>
      <c r="AJ55" s="15"/>
      <c r="AK55" s="93"/>
      <c r="AL55" s="15"/>
      <c r="AM55" s="96"/>
      <c r="AN55" s="156"/>
      <c r="AO55" s="161"/>
      <c r="AP55" s="159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ht="15.0" customHeight="1">
      <c r="A56" s="3" t="str">
        <f>'D2'!D56</f>
        <v/>
      </c>
      <c r="B56" s="172">
        <v>53.0</v>
      </c>
      <c r="C56" s="145" t="str">
        <f>'D2'!C56</f>
        <v/>
      </c>
      <c r="D56" s="145" t="str">
        <f>'D2'!F56</f>
        <v/>
      </c>
      <c r="E56" s="146" t="str">
        <f>'D2'!G56</f>
        <v/>
      </c>
      <c r="F56" s="114"/>
      <c r="G56" s="116"/>
      <c r="H56" s="116"/>
      <c r="I56" s="116"/>
      <c r="J56" s="116"/>
      <c r="K56" s="116"/>
      <c r="L56" s="116"/>
      <c r="M56" s="116"/>
      <c r="N56" s="118"/>
      <c r="O56" s="15"/>
      <c r="P56" s="148"/>
      <c r="Q56" s="137"/>
      <c r="R56" s="154"/>
      <c r="S56" s="137"/>
      <c r="T56" s="115"/>
      <c r="U56" s="121"/>
      <c r="V56" s="115"/>
      <c r="W56" s="121"/>
      <c r="X56" s="154"/>
      <c r="Y56" s="121"/>
      <c r="Z56" s="154"/>
      <c r="AA56" s="121"/>
      <c r="AB56" s="115"/>
      <c r="AC56" s="137"/>
      <c r="AD56" s="154"/>
      <c r="AE56" s="121"/>
      <c r="AF56" s="154"/>
      <c r="AG56" s="147"/>
      <c r="AH56" s="15"/>
      <c r="AI56" s="93"/>
      <c r="AJ56" s="15"/>
      <c r="AK56" s="93"/>
      <c r="AL56" s="15"/>
      <c r="AM56" s="96"/>
      <c r="AN56" s="156"/>
      <c r="AO56" s="161"/>
      <c r="AP56" s="159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ht="15.0" customHeight="1">
      <c r="A57" s="3" t="str">
        <f>'D2'!D57</f>
        <v/>
      </c>
      <c r="B57" s="172">
        <v>54.0</v>
      </c>
      <c r="C57" s="145" t="str">
        <f>'D2'!C57</f>
        <v/>
      </c>
      <c r="D57" s="145" t="str">
        <f>'D2'!F57</f>
        <v/>
      </c>
      <c r="E57" s="146" t="str">
        <f>'D2'!G57</f>
        <v/>
      </c>
      <c r="F57" s="114"/>
      <c r="G57" s="116"/>
      <c r="H57" s="116"/>
      <c r="I57" s="116"/>
      <c r="J57" s="116"/>
      <c r="K57" s="116"/>
      <c r="L57" s="116"/>
      <c r="M57" s="116"/>
      <c r="N57" s="118"/>
      <c r="O57" s="15"/>
      <c r="P57" s="148"/>
      <c r="Q57" s="137"/>
      <c r="R57" s="154"/>
      <c r="S57" s="137"/>
      <c r="T57" s="115"/>
      <c r="U57" s="121"/>
      <c r="V57" s="115"/>
      <c r="W57" s="121"/>
      <c r="X57" s="154"/>
      <c r="Y57" s="121"/>
      <c r="Z57" s="154"/>
      <c r="AA57" s="121"/>
      <c r="AB57" s="115"/>
      <c r="AC57" s="137"/>
      <c r="AD57" s="154"/>
      <c r="AE57" s="121"/>
      <c r="AF57" s="154"/>
      <c r="AG57" s="147"/>
      <c r="AH57" s="15"/>
      <c r="AI57" s="93"/>
      <c r="AJ57" s="15"/>
      <c r="AK57" s="93"/>
      <c r="AL57" s="15"/>
      <c r="AM57" s="96"/>
      <c r="AN57" s="156"/>
      <c r="AO57" s="161"/>
      <c r="AP57" s="159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ht="15.0" customHeight="1">
      <c r="A58" s="3" t="str">
        <f>'D2'!D58</f>
        <v/>
      </c>
      <c r="B58" s="172">
        <v>55.0</v>
      </c>
      <c r="C58" s="145" t="str">
        <f>'D2'!C58</f>
        <v/>
      </c>
      <c r="D58" s="145" t="str">
        <f>'D2'!F58</f>
        <v/>
      </c>
      <c r="E58" s="146" t="str">
        <f>'D2'!G58</f>
        <v/>
      </c>
      <c r="F58" s="114"/>
      <c r="G58" s="116"/>
      <c r="H58" s="116"/>
      <c r="I58" s="116"/>
      <c r="J58" s="116"/>
      <c r="K58" s="116"/>
      <c r="L58" s="116"/>
      <c r="M58" s="116"/>
      <c r="N58" s="118"/>
      <c r="O58" s="15"/>
      <c r="P58" s="148"/>
      <c r="Q58" s="137"/>
      <c r="R58" s="154"/>
      <c r="S58" s="137"/>
      <c r="T58" s="115"/>
      <c r="U58" s="121"/>
      <c r="V58" s="115"/>
      <c r="W58" s="121"/>
      <c r="X58" s="154"/>
      <c r="Y58" s="121"/>
      <c r="Z58" s="154"/>
      <c r="AA58" s="121"/>
      <c r="AB58" s="115"/>
      <c r="AC58" s="137"/>
      <c r="AD58" s="154"/>
      <c r="AE58" s="121"/>
      <c r="AF58" s="154"/>
      <c r="AG58" s="147"/>
      <c r="AH58" s="15"/>
      <c r="AI58" s="93"/>
      <c r="AJ58" s="15"/>
      <c r="AK58" s="93"/>
      <c r="AL58" s="15"/>
      <c r="AM58" s="96"/>
      <c r="AN58" s="156"/>
      <c r="AO58" s="161"/>
      <c r="AP58" s="159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ht="15.0" customHeight="1">
      <c r="A59" s="3" t="str">
        <f>'D2'!D59</f>
        <v/>
      </c>
      <c r="B59" s="172">
        <v>56.0</v>
      </c>
      <c r="C59" s="145" t="str">
        <f>'D2'!C59</f>
        <v/>
      </c>
      <c r="D59" s="145" t="str">
        <f>'D2'!F59</f>
        <v/>
      </c>
      <c r="E59" s="146" t="str">
        <f>'D2'!G59</f>
        <v/>
      </c>
      <c r="F59" s="114"/>
      <c r="G59" s="116"/>
      <c r="H59" s="116"/>
      <c r="I59" s="116"/>
      <c r="J59" s="116"/>
      <c r="K59" s="116"/>
      <c r="L59" s="116"/>
      <c r="M59" s="116"/>
      <c r="N59" s="118"/>
      <c r="O59" s="15"/>
      <c r="P59" s="148"/>
      <c r="Q59" s="137"/>
      <c r="R59" s="154"/>
      <c r="S59" s="137"/>
      <c r="T59" s="115"/>
      <c r="U59" s="121"/>
      <c r="V59" s="115"/>
      <c r="W59" s="121"/>
      <c r="X59" s="154"/>
      <c r="Y59" s="121"/>
      <c r="Z59" s="154"/>
      <c r="AA59" s="121"/>
      <c r="AB59" s="115"/>
      <c r="AC59" s="137"/>
      <c r="AD59" s="154"/>
      <c r="AE59" s="121"/>
      <c r="AF59" s="154"/>
      <c r="AG59" s="147"/>
      <c r="AH59" s="15"/>
      <c r="AI59" s="93"/>
      <c r="AJ59" s="15"/>
      <c r="AK59" s="93"/>
      <c r="AL59" s="15"/>
      <c r="AM59" s="96"/>
      <c r="AN59" s="156"/>
      <c r="AO59" s="161"/>
      <c r="AP59" s="159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ht="15.0" customHeight="1">
      <c r="A60" s="3" t="str">
        <f>'D2'!D60</f>
        <v/>
      </c>
      <c r="B60" s="172">
        <v>57.0</v>
      </c>
      <c r="C60" s="145" t="str">
        <f>'D2'!C60</f>
        <v/>
      </c>
      <c r="D60" s="145" t="str">
        <f>'D2'!F60</f>
        <v/>
      </c>
      <c r="E60" s="146" t="str">
        <f>'D2'!G60</f>
        <v/>
      </c>
      <c r="F60" s="114"/>
      <c r="G60" s="116"/>
      <c r="H60" s="116"/>
      <c r="I60" s="116"/>
      <c r="J60" s="116"/>
      <c r="K60" s="116"/>
      <c r="L60" s="116"/>
      <c r="M60" s="116"/>
      <c r="N60" s="118"/>
      <c r="O60" s="15"/>
      <c r="P60" s="148"/>
      <c r="Q60" s="137"/>
      <c r="R60" s="154"/>
      <c r="S60" s="137"/>
      <c r="T60" s="115"/>
      <c r="U60" s="121"/>
      <c r="V60" s="115"/>
      <c r="W60" s="121"/>
      <c r="X60" s="154"/>
      <c r="Y60" s="121"/>
      <c r="Z60" s="154"/>
      <c r="AA60" s="121"/>
      <c r="AB60" s="115"/>
      <c r="AC60" s="137"/>
      <c r="AD60" s="154"/>
      <c r="AE60" s="121"/>
      <c r="AF60" s="154"/>
      <c r="AG60" s="147"/>
      <c r="AH60" s="15"/>
      <c r="AI60" s="93"/>
      <c r="AJ60" s="15"/>
      <c r="AK60" s="93"/>
      <c r="AL60" s="15"/>
      <c r="AM60" s="96"/>
      <c r="AN60" s="156"/>
      <c r="AO60" s="161"/>
      <c r="AP60" s="159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ht="15.0" customHeight="1">
      <c r="A61" s="3" t="str">
        <f>'D2'!D61</f>
        <v/>
      </c>
      <c r="B61" s="172">
        <v>58.0</v>
      </c>
      <c r="C61" s="145" t="str">
        <f>'D2'!C61</f>
        <v/>
      </c>
      <c r="D61" s="145" t="str">
        <f>'D2'!F61</f>
        <v/>
      </c>
      <c r="E61" s="146" t="str">
        <f>'D2'!G61</f>
        <v/>
      </c>
      <c r="F61" s="114"/>
      <c r="G61" s="116"/>
      <c r="H61" s="116"/>
      <c r="I61" s="116"/>
      <c r="J61" s="116"/>
      <c r="K61" s="116"/>
      <c r="L61" s="116"/>
      <c r="M61" s="116"/>
      <c r="N61" s="118"/>
      <c r="O61" s="15"/>
      <c r="P61" s="148"/>
      <c r="Q61" s="137"/>
      <c r="R61" s="154"/>
      <c r="S61" s="137"/>
      <c r="T61" s="115"/>
      <c r="U61" s="121"/>
      <c r="V61" s="115"/>
      <c r="W61" s="121"/>
      <c r="X61" s="154"/>
      <c r="Y61" s="121"/>
      <c r="Z61" s="154"/>
      <c r="AA61" s="121"/>
      <c r="AB61" s="115"/>
      <c r="AC61" s="137"/>
      <c r="AD61" s="154"/>
      <c r="AE61" s="121"/>
      <c r="AF61" s="154"/>
      <c r="AG61" s="147"/>
      <c r="AH61" s="15"/>
      <c r="AI61" s="93"/>
      <c r="AJ61" s="15"/>
      <c r="AK61" s="93"/>
      <c r="AL61" s="15"/>
      <c r="AM61" s="96"/>
      <c r="AN61" s="156"/>
      <c r="AO61" s="161"/>
      <c r="AP61" s="159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ht="15.0" customHeight="1">
      <c r="A62" s="3" t="str">
        <f>'D2'!D62</f>
        <v/>
      </c>
      <c r="B62" s="172">
        <v>59.0</v>
      </c>
      <c r="C62" s="145" t="str">
        <f>'D2'!C62</f>
        <v/>
      </c>
      <c r="D62" s="145" t="str">
        <f>'D2'!F62</f>
        <v/>
      </c>
      <c r="E62" s="146" t="str">
        <f>'D2'!G62</f>
        <v/>
      </c>
      <c r="F62" s="114"/>
      <c r="G62" s="116"/>
      <c r="H62" s="116"/>
      <c r="I62" s="116"/>
      <c r="J62" s="116"/>
      <c r="K62" s="116"/>
      <c r="L62" s="116"/>
      <c r="M62" s="116"/>
      <c r="N62" s="118"/>
      <c r="O62" s="15"/>
      <c r="P62" s="148"/>
      <c r="Q62" s="137"/>
      <c r="R62" s="154"/>
      <c r="S62" s="137"/>
      <c r="T62" s="154"/>
      <c r="U62" s="137"/>
      <c r="V62" s="115"/>
      <c r="W62" s="121"/>
      <c r="X62" s="154"/>
      <c r="Y62" s="121"/>
      <c r="Z62" s="154"/>
      <c r="AA62" s="121"/>
      <c r="AB62" s="115"/>
      <c r="AC62" s="137"/>
      <c r="AD62" s="154"/>
      <c r="AE62" s="121"/>
      <c r="AF62" s="154"/>
      <c r="AG62" s="147"/>
      <c r="AH62" s="15"/>
      <c r="AI62" s="93"/>
      <c r="AJ62" s="15"/>
      <c r="AK62" s="93"/>
      <c r="AL62" s="15"/>
      <c r="AM62" s="96"/>
      <c r="AN62" s="156"/>
      <c r="AO62" s="161"/>
      <c r="AP62" s="159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ht="15.0" customHeight="1">
      <c r="A63" s="3" t="str">
        <f>'D2'!D63</f>
        <v/>
      </c>
      <c r="B63" s="181">
        <v>60.0</v>
      </c>
      <c r="C63" s="182" t="str">
        <f>'D2'!C63</f>
        <v/>
      </c>
      <c r="D63" s="182" t="str">
        <f>'D2'!F63</f>
        <v/>
      </c>
      <c r="E63" s="183" t="str">
        <f>'D2'!G63</f>
        <v/>
      </c>
      <c r="F63" s="184"/>
      <c r="G63" s="185"/>
      <c r="H63" s="185"/>
      <c r="I63" s="185"/>
      <c r="J63" s="185"/>
      <c r="K63" s="185"/>
      <c r="L63" s="185"/>
      <c r="M63" s="185"/>
      <c r="N63" s="186"/>
      <c r="O63" s="15"/>
      <c r="P63" s="184"/>
      <c r="Q63" s="187"/>
      <c r="R63" s="188"/>
      <c r="S63" s="187"/>
      <c r="T63" s="188"/>
      <c r="U63" s="187"/>
      <c r="V63" s="189"/>
      <c r="W63" s="190"/>
      <c r="X63" s="188"/>
      <c r="Y63" s="190"/>
      <c r="Z63" s="188"/>
      <c r="AA63" s="190"/>
      <c r="AB63" s="189"/>
      <c r="AC63" s="187"/>
      <c r="AD63" s="188"/>
      <c r="AE63" s="190"/>
      <c r="AF63" s="188"/>
      <c r="AG63" s="186"/>
      <c r="AH63" s="15"/>
      <c r="AI63" s="191"/>
      <c r="AJ63" s="15"/>
      <c r="AK63" s="191"/>
      <c r="AL63" s="15"/>
      <c r="AM63" s="192"/>
      <c r="AN63" s="193"/>
      <c r="AO63" s="194"/>
      <c r="AP63" s="195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ht="15.0" customHeight="1">
      <c r="A64" s="3"/>
      <c r="B64" s="3"/>
      <c r="C64" s="3"/>
      <c r="D64" s="3"/>
      <c r="E64" s="3"/>
      <c r="F64" s="196">
        <f t="shared" ref="F64:N64" si="2">SUM(F4:F63)</f>
        <v>22</v>
      </c>
      <c r="G64" s="196">
        <f t="shared" si="2"/>
        <v>28</v>
      </c>
      <c r="H64" s="196">
        <f t="shared" si="2"/>
        <v>24</v>
      </c>
      <c r="I64" s="196">
        <f t="shared" si="2"/>
        <v>28</v>
      </c>
      <c r="J64" s="196">
        <f t="shared" si="2"/>
        <v>29</v>
      </c>
      <c r="K64" s="196">
        <f t="shared" si="2"/>
        <v>19</v>
      </c>
      <c r="L64" s="196">
        <f t="shared" si="2"/>
        <v>15</v>
      </c>
      <c r="M64" s="196">
        <f t="shared" si="2"/>
        <v>17</v>
      </c>
      <c r="N64" s="196">
        <f t="shared" si="2"/>
        <v>23</v>
      </c>
      <c r="O64" s="3"/>
      <c r="P64" s="196">
        <f t="shared" ref="P64:AG64" si="3">SUM(P4:P63)</f>
        <v>0</v>
      </c>
      <c r="Q64" s="196">
        <f t="shared" si="3"/>
        <v>12</v>
      </c>
      <c r="R64" s="196">
        <f t="shared" si="3"/>
        <v>4</v>
      </c>
      <c r="S64" s="196">
        <f t="shared" si="3"/>
        <v>10</v>
      </c>
      <c r="T64" s="196">
        <f t="shared" si="3"/>
        <v>0</v>
      </c>
      <c r="U64" s="196">
        <f t="shared" si="3"/>
        <v>8</v>
      </c>
      <c r="V64" s="196">
        <f t="shared" si="3"/>
        <v>15</v>
      </c>
      <c r="W64" s="196">
        <f t="shared" si="3"/>
        <v>9</v>
      </c>
      <c r="X64" s="196">
        <f t="shared" si="3"/>
        <v>0</v>
      </c>
      <c r="Y64" s="196">
        <f t="shared" si="3"/>
        <v>14</v>
      </c>
      <c r="Z64" s="196">
        <f t="shared" si="3"/>
        <v>0</v>
      </c>
      <c r="AA64" s="196">
        <f t="shared" si="3"/>
        <v>12</v>
      </c>
      <c r="AB64" s="196">
        <f t="shared" si="3"/>
        <v>0</v>
      </c>
      <c r="AC64" s="196">
        <f t="shared" si="3"/>
        <v>12</v>
      </c>
      <c r="AD64" s="196">
        <f t="shared" si="3"/>
        <v>0</v>
      </c>
      <c r="AE64" s="196">
        <f t="shared" si="3"/>
        <v>13</v>
      </c>
      <c r="AF64" s="196">
        <f t="shared" si="3"/>
        <v>0</v>
      </c>
      <c r="AG64" s="196">
        <f t="shared" si="3"/>
        <v>9</v>
      </c>
      <c r="AH64" s="3"/>
      <c r="AI64" s="197"/>
      <c r="AJ64" s="3"/>
      <c r="AK64" s="197"/>
      <c r="AL64" s="197"/>
      <c r="AM64" s="197"/>
      <c r="AN64" s="197"/>
      <c r="AO64" s="197"/>
      <c r="AP64" s="197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ht="15.0" customHeight="1">
      <c r="A65" s="3"/>
      <c r="B65" s="3"/>
      <c r="C65" s="3"/>
      <c r="D65" s="3"/>
      <c r="E65" s="3"/>
      <c r="F65" s="3">
        <v>7.0</v>
      </c>
      <c r="G65" s="3">
        <f t="shared" ref="G65:N65" si="4">F65+7</f>
        <v>14</v>
      </c>
      <c r="H65" s="3">
        <f t="shared" si="4"/>
        <v>21</v>
      </c>
      <c r="I65" s="3">
        <f t="shared" si="4"/>
        <v>28</v>
      </c>
      <c r="J65" s="3">
        <f t="shared" si="4"/>
        <v>35</v>
      </c>
      <c r="K65" s="3">
        <f t="shared" si="4"/>
        <v>42</v>
      </c>
      <c r="L65" s="3">
        <f t="shared" si="4"/>
        <v>49</v>
      </c>
      <c r="M65" s="3">
        <f t="shared" si="4"/>
        <v>56</v>
      </c>
      <c r="N65" s="3">
        <f t="shared" si="4"/>
        <v>63</v>
      </c>
      <c r="O65" s="3"/>
      <c r="P65" s="3">
        <v>7.0</v>
      </c>
      <c r="Q65" s="3"/>
      <c r="R65" s="3">
        <f>P65+7</f>
        <v>14</v>
      </c>
      <c r="S65" s="3"/>
      <c r="T65" s="3">
        <f>R65+7</f>
        <v>21</v>
      </c>
      <c r="U65" s="3"/>
      <c r="V65" s="3">
        <f>T65+7</f>
        <v>28</v>
      </c>
      <c r="W65" s="3"/>
      <c r="X65" s="3">
        <f>V65+7</f>
        <v>35</v>
      </c>
      <c r="Y65" s="3"/>
      <c r="Z65" s="3">
        <f>X65+7</f>
        <v>42</v>
      </c>
      <c r="AA65" s="3"/>
      <c r="AB65" s="3">
        <f>Z65+7</f>
        <v>49</v>
      </c>
      <c r="AC65" s="3"/>
      <c r="AD65" s="3">
        <f>AB65+7</f>
        <v>56</v>
      </c>
      <c r="AE65" s="3"/>
      <c r="AF65" s="3">
        <f>AD65+7</f>
        <v>63</v>
      </c>
      <c r="AG65" s="3"/>
      <c r="AH65" s="3"/>
      <c r="AI65" s="198">
        <f>AF65</f>
        <v>63</v>
      </c>
      <c r="AJ65" s="198"/>
      <c r="AK65" s="198">
        <f>AI65</f>
        <v>63</v>
      </c>
      <c r="AL65" s="3"/>
      <c r="AM65" s="3"/>
      <c r="AN65" s="3"/>
      <c r="AO65" s="3"/>
      <c r="AP65" s="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ht="15.0" customHeight="1">
      <c r="A66" s="3"/>
      <c r="B66" s="3"/>
      <c r="C66" s="3"/>
      <c r="D66" s="3"/>
      <c r="E66" s="3"/>
      <c r="F66" s="199">
        <f>OFFSET(DEVO!$F$4,0,F65)</f>
        <v>46201</v>
      </c>
      <c r="G66" s="199">
        <f>OFFSET(DEVO!$F$4,0,G65)</f>
        <v>46208</v>
      </c>
      <c r="H66" s="199">
        <f>OFFSET(DEVO!$F$4,0,H65)</f>
        <v>46215</v>
      </c>
      <c r="I66" s="199">
        <f>OFFSET(DEVO!$F$4,0,I65)</f>
        <v>46222</v>
      </c>
      <c r="J66" s="199">
        <f>OFFSET(DEVO!$F$4,0,J65)</f>
        <v>46229</v>
      </c>
      <c r="K66" s="199">
        <f>OFFSET(DEVO!$F$4,0,K65)</f>
        <v>46236</v>
      </c>
      <c r="L66" s="199">
        <f>OFFSET(DEVO!$F$4,0,L65)</f>
        <v>46243</v>
      </c>
      <c r="M66" s="199">
        <f>OFFSET(DEVO!$F$4,0,M65)</f>
        <v>46250</v>
      </c>
      <c r="N66" s="199">
        <f>OFFSET(DEVO!$F$4,0,N65)</f>
        <v>46257</v>
      </c>
      <c r="O66" s="3"/>
      <c r="P66" s="199">
        <f>OFFSET(DEVO!$F$4,0,P65)</f>
        <v>46201</v>
      </c>
      <c r="Q66" s="200">
        <f>P66</f>
        <v>46201</v>
      </c>
      <c r="R66" s="199">
        <f>OFFSET(DEVO!$F$4,0,R65)</f>
        <v>46208</v>
      </c>
      <c r="S66" s="200">
        <f>R66</f>
        <v>46208</v>
      </c>
      <c r="T66" s="199">
        <f>OFFSET(DEVO!$F$4,0,T65)</f>
        <v>46215</v>
      </c>
      <c r="U66" s="200">
        <f>T66</f>
        <v>46215</v>
      </c>
      <c r="V66" s="199">
        <f>OFFSET(DEVO!$F$4,0,V65)</f>
        <v>46222</v>
      </c>
      <c r="W66" s="200">
        <f>V66</f>
        <v>46222</v>
      </c>
      <c r="X66" s="199">
        <f>OFFSET(DEVO!$F$4,0,X65)</f>
        <v>46229</v>
      </c>
      <c r="Y66" s="200">
        <f>X66</f>
        <v>46229</v>
      </c>
      <c r="Z66" s="199">
        <f>OFFSET(DEVO!$F$4,0,Z65)</f>
        <v>46236</v>
      </c>
      <c r="AA66" s="200">
        <f>Z66</f>
        <v>46236</v>
      </c>
      <c r="AB66" s="199">
        <f>OFFSET(DEVO!$F$4,0,AB65)</f>
        <v>46243</v>
      </c>
      <c r="AC66" s="200">
        <f>AB66</f>
        <v>46243</v>
      </c>
      <c r="AD66" s="199">
        <f>OFFSET(DEVO!$F$4,0,AD65)</f>
        <v>46250</v>
      </c>
      <c r="AE66" s="200">
        <f>AD66</f>
        <v>46250</v>
      </c>
      <c r="AF66" s="199">
        <f>OFFSET(DEVO!$F$4,0,AF65)</f>
        <v>46257</v>
      </c>
      <c r="AG66" s="200">
        <f>AF66</f>
        <v>46257</v>
      </c>
      <c r="AH66" s="3"/>
      <c r="AI66" s="199">
        <f>OFFSET(DEVO!$F$4,0,AI65)</f>
        <v>46257</v>
      </c>
      <c r="AJ66" s="198"/>
      <c r="AK66" s="199">
        <f>OFFSET(DEVO!$F$4,0,AK65)</f>
        <v>46257</v>
      </c>
      <c r="AL66" s="3"/>
      <c r="AM66" s="3"/>
      <c r="AN66" s="3"/>
      <c r="AO66" s="3"/>
      <c r="AP66" s="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</row>
  </sheetData>
  <mergeCells count="2">
    <mergeCell ref="F1:N1"/>
    <mergeCell ref="P1:AG1"/>
  </mergeCells>
  <conditionalFormatting sqref="F4:N63 P4:AG63 AI4:AI63 AK4:AK63">
    <cfRule type="cellIs" dxfId="0" priority="1" operator="greaterThanOrEqual">
      <formula>1</formula>
    </cfRule>
  </conditionalFormatting>
  <conditionalFormatting sqref="F4:N63 P4:AG63 AI4:AI63 AK4:AK63">
    <cfRule type="expression" dxfId="1" priority="2">
      <formula>F$66&lt;TODAY()</formula>
    </cfRule>
  </conditionalFormatting>
  <conditionalFormatting sqref="P4:AG63 AI4:AI63 AK4:AK63">
    <cfRule type="cellIs" dxfId="0" priority="3" operator="equal">
      <formula>1</formula>
    </cfRule>
  </conditionalFormatting>
  <dataValidations>
    <dataValidation type="list" allowBlank="1" showErrorMessage="1" sqref="AN4:AN63">
      <formula1>ASISTENCIA!$AU$1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4.38"/>
    <col customWidth="1" min="3" max="3" width="10.13"/>
    <col customWidth="1" min="4" max="4" width="2.75"/>
    <col customWidth="1" min="5" max="5" width="8.5"/>
    <col customWidth="1" min="6" max="6" width="26.75"/>
    <col customWidth="1" min="7" max="8" width="11.13"/>
    <col customWidth="1" hidden="1" min="9" max="10" width="9.13"/>
    <col customWidth="1" min="11" max="11" width="9.13"/>
    <col customWidth="1" min="12" max="47" width="3.38"/>
    <col customWidth="1" min="48" max="49" width="7.25"/>
    <col customWidth="1" min="50" max="50" width="3.38"/>
    <col customWidth="1" min="51" max="59" width="4.75"/>
    <col customWidth="1" min="60" max="60" width="11.0"/>
    <col customWidth="1" min="61" max="61" width="11.38"/>
    <col customWidth="1" min="62" max="70" width="9.88"/>
    <col customWidth="1" min="71" max="76" width="3.38"/>
    <col customWidth="1" min="77" max="77" width="11.38"/>
  </cols>
  <sheetData>
    <row r="1">
      <c r="A1" s="2">
        <v>5.0</v>
      </c>
      <c r="B1" s="8" t="str">
        <f>IFERROR(__xludf.DUMMYFUNCTION("QUERY(IMPORTRANGE($F$1,""Hoja1!A8:D47""),""Select Col3,Col4 where Col1=""&amp;A1&amp;"""")"),"ANTIOQUIANOS")</f>
        <v>ANTIOQUIANOS</v>
      </c>
      <c r="C1" s="10" t="str">
        <f>IFERROR(__xludf.DUMMYFUNCTION("""COMPUTED_VALUE"""),"AUDI ESTELA SAHUANAY HUISACAYNA")</f>
        <v>AUDI ESTELA SAHUANAY HUISACAYNA</v>
      </c>
      <c r="E1" s="12"/>
      <c r="F1" s="14" t="s">
        <v>3</v>
      </c>
      <c r="I1" s="16"/>
      <c r="J1" s="16"/>
      <c r="K1" s="16"/>
      <c r="L1" s="2" t="s">
        <v>0</v>
      </c>
      <c r="M1" s="17" t="s">
        <v>7</v>
      </c>
      <c r="N1" s="2" t="s">
        <v>8</v>
      </c>
      <c r="O1" s="21">
        <f>ASISTENCIA!$F$66</f>
        <v>46201</v>
      </c>
      <c r="P1" s="2" t="s">
        <v>2</v>
      </c>
      <c r="Q1" s="17" t="s">
        <v>11</v>
      </c>
      <c r="R1" s="2" t="s">
        <v>12</v>
      </c>
      <c r="S1" s="21">
        <f>ASISTENCIA!$G$66</f>
        <v>46208</v>
      </c>
      <c r="T1" s="2" t="s">
        <v>4</v>
      </c>
      <c r="U1" s="17" t="s">
        <v>15</v>
      </c>
      <c r="V1" s="2" t="s">
        <v>16</v>
      </c>
      <c r="W1" s="21">
        <f>ASISTENCIA!$H$66</f>
        <v>46215</v>
      </c>
      <c r="X1" s="2" t="s">
        <v>6</v>
      </c>
      <c r="Y1" s="17" t="s">
        <v>18</v>
      </c>
      <c r="Z1" s="2" t="s">
        <v>20</v>
      </c>
      <c r="AA1" s="21">
        <f>ASISTENCIA!$I$66</f>
        <v>46222</v>
      </c>
      <c r="AB1" s="2" t="s">
        <v>9</v>
      </c>
      <c r="AC1" s="17" t="s">
        <v>23</v>
      </c>
      <c r="AD1" s="2" t="s">
        <v>24</v>
      </c>
      <c r="AE1" s="21">
        <f>ASISTENCIA!$J$66</f>
        <v>46229</v>
      </c>
      <c r="AF1" s="2" t="s">
        <v>10</v>
      </c>
      <c r="AG1" s="17" t="s">
        <v>31</v>
      </c>
      <c r="AH1" s="2" t="s">
        <v>33</v>
      </c>
      <c r="AI1" s="21">
        <f>ASISTENCIA!$K$66</f>
        <v>46236</v>
      </c>
      <c r="AJ1" s="2" t="s">
        <v>13</v>
      </c>
      <c r="AK1" s="17" t="s">
        <v>37</v>
      </c>
      <c r="AL1" s="2" t="s">
        <v>38</v>
      </c>
      <c r="AM1" s="21">
        <f>ASISTENCIA!$L$66</f>
        <v>46243</v>
      </c>
      <c r="AN1" s="2" t="s">
        <v>17</v>
      </c>
      <c r="AO1" s="17" t="s">
        <v>40</v>
      </c>
      <c r="AP1" s="2" t="s">
        <v>41</v>
      </c>
      <c r="AQ1" s="21">
        <f>ASISTENCIA!$M$66</f>
        <v>46250</v>
      </c>
      <c r="AR1" s="2" t="s">
        <v>21</v>
      </c>
      <c r="AS1" s="17" t="s">
        <v>43</v>
      </c>
      <c r="AT1" s="2" t="s">
        <v>44</v>
      </c>
      <c r="AU1" s="21">
        <f>ASISTENCIA!$N$66</f>
        <v>46257</v>
      </c>
      <c r="AV1" s="37" t="s">
        <v>45</v>
      </c>
      <c r="AW1" s="37" t="s">
        <v>46</v>
      </c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47">
        <f>IFERROR(__xludf.DUMMYFUNCTION("IMPORTRANGE($F$1,""Hoja1!B61:E62"")"),0.0)</f>
        <v>0</v>
      </c>
      <c r="BK1" s="47">
        <f>IFERROR(__xludf.DUMMYFUNCTION("""COMPUTED_VALUE"""),0.0)</f>
        <v>0</v>
      </c>
      <c r="BL1" s="47">
        <f>IFERROR(__xludf.DUMMYFUNCTION("""COMPUTED_VALUE"""),0.0)</f>
        <v>0</v>
      </c>
      <c r="BM1" s="47">
        <f>IFERROR(__xludf.DUMMYFUNCTION("""COMPUTED_VALUE"""),1.0)</f>
        <v>1</v>
      </c>
      <c r="BN1" s="53"/>
      <c r="BO1" s="53"/>
      <c r="BP1" s="53"/>
      <c r="BQ1" s="53"/>
      <c r="BR1" s="53"/>
      <c r="BS1" s="55" t="s">
        <v>53</v>
      </c>
      <c r="BT1" s="57" t="s">
        <v>54</v>
      </c>
      <c r="BU1" s="57" t="s">
        <v>55</v>
      </c>
      <c r="BV1" s="57" t="s">
        <v>56</v>
      </c>
      <c r="BW1" s="59"/>
      <c r="BX1" s="55"/>
      <c r="BY1" s="55"/>
    </row>
    <row r="2" ht="18.75" customHeight="1">
      <c r="A2" s="61"/>
      <c r="B2" s="62" t="s">
        <v>57</v>
      </c>
      <c r="C2" s="19"/>
      <c r="D2" s="19"/>
      <c r="E2" s="19"/>
      <c r="F2" s="19"/>
      <c r="G2" s="19"/>
      <c r="H2" s="19"/>
      <c r="I2" s="19"/>
      <c r="J2" s="19"/>
      <c r="K2" s="19"/>
      <c r="L2" s="67" t="s">
        <v>59</v>
      </c>
      <c r="M2" s="69"/>
      <c r="N2" s="69"/>
      <c r="O2" s="71"/>
      <c r="P2" s="74" t="s">
        <v>60</v>
      </c>
      <c r="Q2" s="69"/>
      <c r="R2" s="69"/>
      <c r="S2" s="71"/>
      <c r="T2" s="67" t="s">
        <v>61</v>
      </c>
      <c r="U2" s="69"/>
      <c r="V2" s="69"/>
      <c r="W2" s="71"/>
      <c r="X2" s="74" t="s">
        <v>62</v>
      </c>
      <c r="Y2" s="69"/>
      <c r="Z2" s="69"/>
      <c r="AA2" s="71"/>
      <c r="AB2" s="67" t="s">
        <v>63</v>
      </c>
      <c r="AC2" s="69"/>
      <c r="AD2" s="69"/>
      <c r="AE2" s="71"/>
      <c r="AF2" s="74" t="s">
        <v>64</v>
      </c>
      <c r="AG2" s="69"/>
      <c r="AH2" s="69"/>
      <c r="AI2" s="71"/>
      <c r="AJ2" s="67" t="s">
        <v>65</v>
      </c>
      <c r="AK2" s="69"/>
      <c r="AL2" s="69"/>
      <c r="AM2" s="71"/>
      <c r="AN2" s="74" t="s">
        <v>66</v>
      </c>
      <c r="AO2" s="69"/>
      <c r="AP2" s="69"/>
      <c r="AQ2" s="71"/>
      <c r="AR2" s="67" t="s">
        <v>67</v>
      </c>
      <c r="AS2" s="69"/>
      <c r="AT2" s="69"/>
      <c r="AU2" s="71"/>
      <c r="AV2" s="81" t="s">
        <v>48</v>
      </c>
      <c r="AW2" s="81" t="s">
        <v>49</v>
      </c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53">
        <f>IFERROR(__xludf.DUMMYFUNCTION("""COMPUTED_VALUE"""),9.0)</f>
        <v>9</v>
      </c>
      <c r="BK2" s="53"/>
      <c r="BL2" s="53"/>
      <c r="BM2" s="53"/>
      <c r="BN2" s="53"/>
      <c r="BO2" s="53"/>
      <c r="BP2" s="53"/>
      <c r="BQ2" s="53"/>
      <c r="BR2" s="53"/>
      <c r="BS2" s="55"/>
      <c r="BT2" s="55"/>
      <c r="BU2" s="55"/>
      <c r="BV2" s="55"/>
      <c r="BW2" s="55"/>
      <c r="BX2" s="55"/>
      <c r="BY2" s="87"/>
    </row>
    <row r="3" ht="39.75" customHeight="1">
      <c r="A3" s="61"/>
      <c r="B3" s="90" t="s">
        <v>68</v>
      </c>
      <c r="C3" s="90" t="s">
        <v>69</v>
      </c>
      <c r="D3" s="91" t="s">
        <v>70</v>
      </c>
      <c r="E3" s="94" t="s">
        <v>71</v>
      </c>
      <c r="F3" s="90" t="s">
        <v>72</v>
      </c>
      <c r="G3" s="90" t="s">
        <v>73</v>
      </c>
      <c r="H3" s="91" t="s">
        <v>74</v>
      </c>
      <c r="I3" s="97" t="s">
        <v>58</v>
      </c>
      <c r="J3" s="97" t="s">
        <v>58</v>
      </c>
      <c r="K3" s="97" t="s">
        <v>58</v>
      </c>
      <c r="L3" s="98" t="s">
        <v>75</v>
      </c>
      <c r="M3" s="98" t="s">
        <v>76</v>
      </c>
      <c r="N3" s="98" t="s">
        <v>77</v>
      </c>
      <c r="O3" s="98" t="s">
        <v>78</v>
      </c>
      <c r="P3" s="99" t="s">
        <v>75</v>
      </c>
      <c r="Q3" s="99" t="s">
        <v>76</v>
      </c>
      <c r="R3" s="99" t="s">
        <v>77</v>
      </c>
      <c r="S3" s="99" t="s">
        <v>78</v>
      </c>
      <c r="T3" s="98" t="s">
        <v>75</v>
      </c>
      <c r="U3" s="98" t="s">
        <v>76</v>
      </c>
      <c r="V3" s="98" t="s">
        <v>77</v>
      </c>
      <c r="W3" s="98" t="s">
        <v>78</v>
      </c>
      <c r="X3" s="99" t="s">
        <v>75</v>
      </c>
      <c r="Y3" s="99" t="s">
        <v>76</v>
      </c>
      <c r="Z3" s="99" t="s">
        <v>77</v>
      </c>
      <c r="AA3" s="99" t="s">
        <v>78</v>
      </c>
      <c r="AB3" s="98" t="s">
        <v>75</v>
      </c>
      <c r="AC3" s="98" t="s">
        <v>76</v>
      </c>
      <c r="AD3" s="98" t="s">
        <v>77</v>
      </c>
      <c r="AE3" s="98" t="s">
        <v>78</v>
      </c>
      <c r="AF3" s="99" t="s">
        <v>75</v>
      </c>
      <c r="AG3" s="99" t="s">
        <v>76</v>
      </c>
      <c r="AH3" s="99" t="s">
        <v>77</v>
      </c>
      <c r="AI3" s="99" t="s">
        <v>78</v>
      </c>
      <c r="AJ3" s="98" t="s">
        <v>75</v>
      </c>
      <c r="AK3" s="98" t="s">
        <v>76</v>
      </c>
      <c r="AL3" s="98" t="s">
        <v>77</v>
      </c>
      <c r="AM3" s="98" t="s">
        <v>78</v>
      </c>
      <c r="AN3" s="99" t="s">
        <v>75</v>
      </c>
      <c r="AO3" s="99" t="s">
        <v>76</v>
      </c>
      <c r="AP3" s="99" t="s">
        <v>77</v>
      </c>
      <c r="AQ3" s="99" t="s">
        <v>78</v>
      </c>
      <c r="AR3" s="98" t="s">
        <v>75</v>
      </c>
      <c r="AS3" s="98" t="s">
        <v>76</v>
      </c>
      <c r="AT3" s="98" t="s">
        <v>77</v>
      </c>
      <c r="AU3" s="98" t="s">
        <v>78</v>
      </c>
      <c r="AV3" s="104"/>
      <c r="AW3" s="104"/>
      <c r="AX3" s="105"/>
      <c r="AY3" s="106" t="s">
        <v>82</v>
      </c>
      <c r="AZ3" s="106" t="s">
        <v>83</v>
      </c>
      <c r="BA3" s="106" t="s">
        <v>84</v>
      </c>
      <c r="BB3" s="106" t="s">
        <v>85</v>
      </c>
      <c r="BC3" s="106" t="s">
        <v>86</v>
      </c>
      <c r="BD3" s="106" t="s">
        <v>87</v>
      </c>
      <c r="BE3" s="106" t="s">
        <v>88</v>
      </c>
      <c r="BF3" s="106" t="s">
        <v>89</v>
      </c>
      <c r="BG3" s="106" t="s">
        <v>90</v>
      </c>
      <c r="BH3" s="108" t="s">
        <v>91</v>
      </c>
      <c r="BI3" s="110" t="s">
        <v>92</v>
      </c>
      <c r="BJ3" s="106" t="s">
        <v>93</v>
      </c>
      <c r="BK3" s="111" t="s">
        <v>94</v>
      </c>
      <c r="BL3" s="106" t="s">
        <v>95</v>
      </c>
      <c r="BM3" s="111" t="s">
        <v>96</v>
      </c>
      <c r="BN3" s="106" t="s">
        <v>97</v>
      </c>
      <c r="BO3" s="111" t="s">
        <v>98</v>
      </c>
      <c r="BP3" s="106" t="s">
        <v>99</v>
      </c>
      <c r="BQ3" s="111" t="s">
        <v>100</v>
      </c>
      <c r="BR3" s="106" t="s">
        <v>101</v>
      </c>
      <c r="BS3" s="87"/>
      <c r="BT3" s="55"/>
      <c r="BU3" s="55"/>
      <c r="BV3" s="55"/>
      <c r="BW3" s="55"/>
      <c r="BX3" s="87" t="str">
        <f>IFERROR(__xludf.DUMMYFUNCTION("IMPORTRANGE($F$1,""Hoja1!B120:C139"")"),"")</f>
        <v/>
      </c>
      <c r="BY3" s="120" t="str">
        <f>IFERROR(__xludf.DUMMYFUNCTION("""COMPUTED_VALUE"""),"ASISTENCIA")</f>
        <v>ASISTENCIA</v>
      </c>
    </row>
    <row r="4" ht="19.5" customHeight="1">
      <c r="A4" s="123">
        <v>1.0</v>
      </c>
      <c r="B4" s="127" t="str">
        <f>IFERROR(__xludf.DUMMYFUNCTION("QUERY(IMPORTRANGE($F$1,""Hoja1!G3:Q""),""Select Col1,Col2,Col3,Col4,Col6,Col7,Col8,Col11 where Col1='""&amp;B1&amp;""' and Col2='""&amp;C1&amp;""' ORDER BY Col2 ASC"",0)"),"ANTIOQUIANOS")</f>
        <v>ANTIOQUIANOS</v>
      </c>
      <c r="C4" s="128" t="str">
        <f>IFERROR(__xludf.DUMMYFUNCTION("""COMPUTED_VALUE"""),"AUDI ESTELA SAHUANAY HUISACAYNA")</f>
        <v>AUDI ESTELA SAHUANAY HUISACAYNA</v>
      </c>
      <c r="D4" s="128" t="str">
        <f>IFERROR(__xludf.DUMMYFUNCTION("""COMPUTED_VALUE"""),"ESC.LID-0209")</f>
        <v>ESC.LID-0209</v>
      </c>
      <c r="E4" s="127" t="str">
        <f>IFERROR(__xludf.DUMMYFUNCTION("""COMPUTED_VALUE"""),"C1131")</f>
        <v>C1131</v>
      </c>
      <c r="F4" s="127" t="str">
        <f>IFERROR(__xludf.DUMMYFUNCTION("""COMPUTED_VALUE"""),"ALVA PATRÓN, ISAÍAS SAID")</f>
        <v>ALVA PATRÓN, ISAÍAS SAID</v>
      </c>
      <c r="G4" s="128" t="str">
        <f>IFERROR(__xludf.DUMMYFUNCTION("""COMPUTED_VALUE"""),"72066954")</f>
        <v>72066954</v>
      </c>
      <c r="H4" s="128" t="str">
        <f>IFERROR(__xludf.DUMMYFUNCTION("""COMPUTED_VALUE"""),"922118392")</f>
        <v>922118392</v>
      </c>
      <c r="I4" s="129"/>
      <c r="J4" s="129">
        <f>DEVO!F5</f>
        <v>39672</v>
      </c>
      <c r="K4" s="129">
        <f t="shared" ref="K4:K63" si="1">IF(I4&gt;0,I4,J4)</f>
        <v>39672</v>
      </c>
      <c r="L4" s="131">
        <f>IF(TODAY()&gt;=$O$1-6,SUM(OFFSET(ASISTENCIA!$E$1,MATCH($G4,ASISTENCIA!$E:$E,0)-1,MATCH(L$1,ASISTENCIA!$3:$3,0)-5,1,1)),"")</f>
        <v>1</v>
      </c>
      <c r="M4" s="131" t="str">
        <f>OFFSET(ASISTENCIA!$E$1,MATCH($G4,ASISTENCIA!$E:$E,0)-1,MATCH(M$1,ASISTENCIA!$3:$3,0)-5,1,1)</f>
        <v/>
      </c>
      <c r="N4" s="131" t="str">
        <f>OFFSET(ASISTENCIA!$E$1,MATCH($G4,ASISTENCIA!$E:$E,0)-1,MATCH(N$1,ASISTENCIA!$3:$3,0)-5,1,1)</f>
        <v/>
      </c>
      <c r="O4" s="136">
        <f>IF(TODAY()&gt;=$O$1-6,SUM(OFFSET(DEVO!$F$1,MATCH($G4,DEVO!$E:$E,0)-1,MATCH(L$1,DEVO!$1:$1,0)-6,1,7)),"")</f>
        <v>1</v>
      </c>
      <c r="P4" s="131">
        <f>IF(TODAY()&gt;=$S$1-6,SUM(OFFSET(ASISTENCIA!$E$1,MATCH($G4,ASISTENCIA!$E:$E,0)-1,MATCH(P$1,ASISTENCIA!$3:$3,0)-5,1,1)),"")</f>
        <v>3</v>
      </c>
      <c r="Q4" s="131" t="str">
        <f>OFFSET(ASISTENCIA!$E$1,MATCH($G4,ASISTENCIA!$E:$E,0)-1,MATCH(Q$1,ASISTENCIA!$3:$3,0)-5,1,1)</f>
        <v/>
      </c>
      <c r="R4" s="131">
        <f>OFFSET(ASISTENCIA!$E$1,MATCH($G4,ASISTENCIA!$E:$E,0)-1,MATCH(R$1,ASISTENCIA!$3:$3,0)-5,1,1)</f>
        <v>1</v>
      </c>
      <c r="S4" s="136">
        <f>IF(TODAY()&gt;=$S$1-6,SUM(OFFSET(DEVO!$F$1,MATCH($G4,DEVO!$E:$E,0)-1,MATCH(P$1,DEVO!$1:$1,0)-6,1,7)),"")</f>
        <v>2</v>
      </c>
      <c r="T4" s="131">
        <f>IF(TODAY()&gt;=$W$1-6,SUM(OFFSET(ASISTENCIA!$E$1,MATCH($G4,ASISTENCIA!$E:$E,0)-1,MATCH(T$1,ASISTENCIA!$3:$3,0)-5,1,1)),"")</f>
        <v>2</v>
      </c>
      <c r="U4" s="131" t="str">
        <f>OFFSET(ASISTENCIA!$E$1,MATCH($G4,ASISTENCIA!$E:$E,0)-1,MATCH(U$1,ASISTENCIA!$3:$3,0)-5,1,1)</f>
        <v/>
      </c>
      <c r="V4" s="131" t="str">
        <f>OFFSET(ASISTENCIA!$E$1,MATCH($G4,ASISTENCIA!$E:$E,0)-1,MATCH(V$1,ASISTENCIA!$3:$3,0)-5,1,1)</f>
        <v/>
      </c>
      <c r="W4" s="136">
        <f>IF(TODAY()&gt;=$W$1-6,SUM(OFFSET(DEVO!$F$1,MATCH($G4,DEVO!$E:$E,0)-1,MATCH(T$1,DEVO!$1:$1,0)-6,1,7)),"")</f>
        <v>2</v>
      </c>
      <c r="X4" s="131">
        <f>IF(TODAY()&gt;=$AA$1-6,SUM(OFFSET(ASISTENCIA!$E$1,MATCH($G4,ASISTENCIA!$E:$E,0)-1,MATCH(X$1,ASISTENCIA!$3:$3,0)-5,1,1)),"")</f>
        <v>1</v>
      </c>
      <c r="Y4" s="131" t="str">
        <f>OFFSET(ASISTENCIA!$E$1,MATCH($G4,ASISTENCIA!$E:$E,0)-1,MATCH(Y$1,ASISTENCIA!$3:$3,0)-5,1,1)</f>
        <v/>
      </c>
      <c r="Z4" s="131" t="str">
        <f>OFFSET(ASISTENCIA!$E$1,MATCH($G4,ASISTENCIA!$E:$E,0)-1,MATCH(Z$1,ASISTENCIA!$3:$3,0)-5,1,1)</f>
        <v/>
      </c>
      <c r="AA4" s="136">
        <f>IF(TODAY()&gt;=$AA$1-6,SUM(OFFSET(DEVO!$F$1,MATCH($G4,DEVO!$E:$E,0)-1,MATCH(X$1,DEVO!$1:$1,0)-6,1,7)),"")</f>
        <v>2</v>
      </c>
      <c r="AB4" s="131">
        <f>IF(TODAY()&gt;=$AE$1-6,SUM(OFFSET(ASISTENCIA!$E$1,MATCH($G4,ASISTENCIA!$E:$E,0)-1,MATCH(AB$1,ASISTENCIA!$3:$3,0)-5,1,1)),"")</f>
        <v>0</v>
      </c>
      <c r="AC4" s="131" t="str">
        <f>OFFSET(ASISTENCIA!$E$1,MATCH($G4,ASISTENCIA!$E:$E,0)-1,MATCH(AC$1,ASISTENCIA!$3:$3,0)-5,1,1)</f>
        <v/>
      </c>
      <c r="AD4" s="131">
        <f>OFFSET(ASISTENCIA!$E$1,MATCH($G4,ASISTENCIA!$E:$E,0)-1,MATCH(AD$1,ASISTENCIA!$3:$3,0)-5,1,1)</f>
        <v>1</v>
      </c>
      <c r="AE4" s="136">
        <f>IF(TODAY()&gt;=$AE$1-6,SUM(OFFSET(DEVO!$F$1,MATCH($G4,DEVO!$E:$E,0)-1,MATCH(AB$1,DEVO!$1:$1,0)-6,1,7)),"")</f>
        <v>0</v>
      </c>
      <c r="AF4" s="131">
        <f>IF(TODAY()&gt;=$AI$1-6,SUM(OFFSET(ASISTENCIA!$E$1,MATCH($G4,ASISTENCIA!$E:$E,0)-1,MATCH(AF$1,ASISTENCIA!$3:$3,0)-5,1,1)),"")</f>
        <v>0</v>
      </c>
      <c r="AG4" s="131" t="str">
        <f>OFFSET(ASISTENCIA!$E$1,MATCH($G4,ASISTENCIA!$E:$E,0)-1,MATCH(AG$1,ASISTENCIA!$3:$3,0)-5,1,1)</f>
        <v/>
      </c>
      <c r="AH4" s="131">
        <f>OFFSET(ASISTENCIA!$E$1,MATCH($G4,ASISTENCIA!$E:$E,0)-1,MATCH(AH$1,ASISTENCIA!$3:$3,0)-5,1,1)</f>
        <v>1</v>
      </c>
      <c r="AI4" s="136">
        <f>IF(TODAY()&gt;=$AI$1-6,SUM(OFFSET(DEVO!$F$1,MATCH($G4,DEVO!$E:$E,0)-1,MATCH(AF$1,DEVO!$1:$1,0)-6,1,7)),"")</f>
        <v>0</v>
      </c>
      <c r="AJ4" s="131">
        <f>IF(TODAY()&gt;=$AM$1-6,SUM(OFFSET(ASISTENCIA!$E$1,MATCH($G4,ASISTENCIA!$E:$E,0)-1,MATCH(AJ$1,ASISTENCIA!$3:$3,0)-5,1,1)),"")</f>
        <v>0</v>
      </c>
      <c r="AK4" s="131" t="str">
        <f>OFFSET(ASISTENCIA!$E$1,MATCH($G4,ASISTENCIA!$E:$E,0)-1,MATCH(AK$1,ASISTENCIA!$3:$3,0)-5,1,1)</f>
        <v/>
      </c>
      <c r="AL4" s="131">
        <f>OFFSET(ASISTENCIA!$E$1,MATCH($G4,ASISTENCIA!$E:$E,0)-1,MATCH(AL$1,ASISTENCIA!$3:$3,0)-5,1,1)</f>
        <v>1</v>
      </c>
      <c r="AM4" s="136">
        <f>IF(TODAY()&gt;=$AM$1-6,SUM(OFFSET(DEVO!$F$1,MATCH($G4,DEVO!$E:$E,0)-1,MATCH(AJ$1,DEVO!$1:$1,0)-6,1,7)),"")</f>
        <v>1</v>
      </c>
      <c r="AN4" s="131">
        <f>IF(TODAY()&gt;=$AQ$1-6,SUM(OFFSET(ASISTENCIA!$E$1,MATCH($G4,ASISTENCIA!$E:$E,0)-1,MATCH(AN$1,ASISTENCIA!$3:$3,0)-5,1,1)),"")</f>
        <v>0</v>
      </c>
      <c r="AO4" s="131" t="str">
        <f>OFFSET(ASISTENCIA!$E$1,MATCH($G4,ASISTENCIA!$E:$E,0)-1,MATCH(AO$1,ASISTENCIA!$3:$3,0)-5,1,1)</f>
        <v/>
      </c>
      <c r="AP4" s="131">
        <f>OFFSET(ASISTENCIA!$E$1,MATCH($G4,ASISTENCIA!$E:$E,0)-1,MATCH(AP$1,ASISTENCIA!$3:$3,0)-5,1,1)</f>
        <v>1</v>
      </c>
      <c r="AQ4" s="136">
        <f>IF(TODAY()&gt;=$AQ$1-6,SUM(OFFSET(DEVO!$F$1,MATCH($G4,DEVO!$E:$E,0)-1,MATCH(AN$1,DEVO!$1:$1,0)-6,1,7)),"")</f>
        <v>0</v>
      </c>
      <c r="AR4" s="131">
        <f>IF(TODAY()&gt;=$AU$1-6,SUM(OFFSET(ASISTENCIA!$E$1,MATCH($G4,ASISTENCIA!$E:$E,0)-1,MATCH(AR$1,ASISTENCIA!$3:$3,0)-5,1,1)),"")</f>
        <v>0</v>
      </c>
      <c r="AS4" s="131" t="str">
        <f>OFFSET(ASISTENCIA!$E$1,MATCH($G4,ASISTENCIA!$E:$E,0)-1,MATCH(AS$1,ASISTENCIA!$3:$3,0)-5,1,1)</f>
        <v/>
      </c>
      <c r="AT4" s="131" t="str">
        <f>OFFSET(ASISTENCIA!$E$1,MATCH($G4,ASISTENCIA!$E:$E,0)-1,MATCH(AT$1,ASISTENCIA!$3:$3,0)-5,1,1)</f>
        <v/>
      </c>
      <c r="AU4" s="136">
        <f>IF(TODAY()&gt;=$AU$1-6,SUM(OFFSET(DEVO!$F$1,MATCH($G4,DEVO!$E:$E,0)-1,MATCH(AR$1,DEVO!$1:$1,0)-6,1,7)),"")</f>
        <v>0</v>
      </c>
      <c r="AV4" s="131" t="str">
        <f>OFFSET(ASISTENCIA!$E$1,MATCH($G4,ASISTENCIA!$E:$E,0)-1,MATCH(AV$1,ASISTENCIA!$3:$3,0)-5,1,1)</f>
        <v/>
      </c>
      <c r="AW4" s="131" t="str">
        <f>OFFSET(ASISTENCIA!$E$1,MATCH($G4,ASISTENCIA!$E:$E,0)-1,MATCH(AW$1,ASISTENCIA!$3:$3,0)-5,1,1)</f>
        <v/>
      </c>
      <c r="AY4" s="149">
        <f t="shared" ref="AY4:AY63" si="2">IF(TODAY()&gt;=$O$1-6,COUNTIF(L4,"&gt;"&amp;0)," ")</f>
        <v>1</v>
      </c>
      <c r="AZ4" s="150">
        <f t="shared" ref="AZ4:AZ63" si="3">IF(TODAY()&gt;=$S$1-6,COUNTIF(P4,"&gt;"&amp;0)," ")</f>
        <v>1</v>
      </c>
      <c r="BA4" s="150">
        <f t="shared" ref="BA4:BA63" si="4">IF(TODAY()&gt;=$W$1-6,COUNTIF(T4,"&gt;"&amp;0)," ")</f>
        <v>1</v>
      </c>
      <c r="BB4" s="150">
        <f t="shared" ref="BB4:BB63" si="5">IF(TODAY()&gt;=$AA$1-6,COUNTIF(X4,"&gt;"&amp;0)," ")</f>
        <v>1</v>
      </c>
      <c r="BC4" s="150">
        <f t="shared" ref="BC4:BC63" si="6">IF(TODAY()&gt;=$AE$1-6,COUNTIF(AB4,"&gt;"&amp;0)," ")</f>
        <v>0</v>
      </c>
      <c r="BD4" s="150">
        <f t="shared" ref="BD4:BD63" si="7">IF(TODAY()&gt;=$AI$1-6,COUNTIF(AF4,"&gt;"&amp;0)," ")</f>
        <v>0</v>
      </c>
      <c r="BE4" s="150">
        <f t="shared" ref="BE4:BE63" si="8">IF(TODAY()&gt;=$AM$1-6,COUNTIF(AJ4,"&gt;"&amp;0)," ")</f>
        <v>0</v>
      </c>
      <c r="BF4" s="150">
        <f t="shared" ref="BF4:BF63" si="9">IF(TODAY()&gt;=$AQ$1-6,COUNTIF(AN4,"&gt;"&amp;0)," ")</f>
        <v>0</v>
      </c>
      <c r="BG4" s="150">
        <f t="shared" ref="BG4:BG63" si="10">IF(TODAY()&gt;=$AU$1-6,COUNTIF(AR4,"&gt;"&amp;0)," ")</f>
        <v>0</v>
      </c>
      <c r="BH4" s="152">
        <f t="shared" ref="BH4:BH63" si="11">IFERROR(SUM(AY4:BG4)/$BJ$2,0)*10</f>
        <v>4.444444444</v>
      </c>
      <c r="BI4" s="153" t="str">
        <f t="shared" ref="BI4:BI63" si="12">VLOOKUP(BH4,$BX$4:$BY$11,2,1)</f>
        <v>OBSERVADOS</v>
      </c>
      <c r="BJ4" s="155" t="str">
        <f t="shared" ref="BJ4:BJ63" si="13">IF(TODAY()&gt;=$O$1-6,VLOOKUP(10*SUMPRODUCT($BJ$1:$BM$1,L4:O4)/MIN((TODAY()-$O$1+7),7),$BX$15:$BY$22,2,1)," ")</f>
        <v>OBSERVADOS</v>
      </c>
      <c r="BK4" s="157" t="str">
        <f t="shared" ref="BK4:BK63" si="14">IF(TODAY()&gt;=$S$1-6,VLOOKUP(10*SUMPRODUCT($BJ$1:$BM$1,P4:S4)/MIN((TODAY()-$S$1+7),7),$BX$15:$BY$22,2,1)," ")</f>
        <v>OBSERVADOS</v>
      </c>
      <c r="BL4" s="157" t="str">
        <f t="shared" ref="BL4:BL63" si="15">IF(TODAY()&gt;=$W$1-6,VLOOKUP(10*SUMPRODUCT($BJ$1:$BM$1,T4:W4)/MIN((TODAY()-$W$1+7),7),$BX$15:$BY$22,2,1)," ")</f>
        <v>OBSERVADOS</v>
      </c>
      <c r="BM4" s="157" t="str">
        <f t="shared" ref="BM4:BM63" si="16">IF(TODAY()&gt;=$AA$1-6,VLOOKUP(10*SUMPRODUCT($BJ$1:$BM$1,X4:AA4)/MIN((TODAY()-$AA$1+7),7),$BX$15:$BY$22,2,1)," ")</f>
        <v>OBSERVADOS</v>
      </c>
      <c r="BN4" s="157" t="str">
        <f t="shared" ref="BN4:BN63" si="17">IF(TODAY()&gt;=$AE$1-6,VLOOKUP(10*SUMPRODUCT($BJ$1:$BM$1,AB4:AE4)/MIN((TODAY()-$AE$1+7),7),$BX$15:$BY$22,2,1)," ")</f>
        <v>OBSERVADOS</v>
      </c>
      <c r="BO4" s="157" t="str">
        <f t="shared" ref="BO4:BO63" si="18">IF(TODAY()&gt;=$AI$1-6,VLOOKUP(10*SUMPRODUCT($BJ$1:$BM$1,AF4:AI4)/MIN((TODAY()-$AI$1+7),7),$BX$15:$BY$22,2,1)," ")</f>
        <v>OBSERVADOS</v>
      </c>
      <c r="BP4" s="157" t="str">
        <f t="shared" ref="BP4:BP63" si="19">IF(TODAY()&gt;=$AM$1-6,VLOOKUP(10*SUMPRODUCT($BJ$1:$BM$1,AJ4:AM4)/MIN((TODAY()-$AM$1+7),7),$BX$15:$BY$22,2,1)," ")</f>
        <v>OBSERVADOS</v>
      </c>
      <c r="BQ4" s="157" t="str">
        <f t="shared" ref="BQ4:BQ63" si="20">IF(TODAY()&gt;=$AQ$1-6,VLOOKUP(10*SUMPRODUCT($BJ$1:$BM$1,AN4:AQ4)/MIN((TODAY()-$AQ$1+7),7),$BX$15:$BY$22,2,1)," ")</f>
        <v>OBSERVADOS</v>
      </c>
      <c r="BR4" s="157" t="str">
        <f t="shared" ref="BR4:BR63" si="21">IF(TODAY()&gt;=$AU$1-6,VLOOKUP(10*SUMPRODUCT($BJ$1:$BM$1,AR4:AU4)/MIN((TODAY()-$AU$1+7),7),$BX$15:$BY$22,2,1)," ")</f>
        <v>OBSERVADOS</v>
      </c>
      <c r="BS4" s="162" t="str">
        <f>OFFSET(ASISTENCIA!$E$1,MATCH($G4,ASISTENCIA!$E:$E,0)-1,MATCH(BS$1,ASISTENCIA!$3:$3,0)-5,1,1)</f>
        <v/>
      </c>
      <c r="BT4" s="163" t="str">
        <f>OFFSET(ASISTENCIA!$E$1,MATCH($G4,ASISTENCIA!$E:$E,0)-1,MATCH(BT$1,ASISTENCIA!$3:$3,0)-5,1,1)</f>
        <v>Daniel Campos</v>
      </c>
      <c r="BU4" s="164" t="str">
        <f>OFFSET(ASISTENCIA!$E$1,MATCH($G4,ASISTENCIA!$E:$E,0)-1,MATCH(BU$1,ASISTENCIA!$3:$3,0)-5,1,1)</f>
        <v>913550127</v>
      </c>
      <c r="BV4" s="164" t="str">
        <f>OFFSET(ASISTENCIA!$E$1,MATCH($G4,ASISTENCIA!$E:$E,0)-1,MATCH(BV$1,ASISTENCIA!$3:$3,0)-5,1,1)</f>
        <v/>
      </c>
      <c r="BW4" s="165"/>
      <c r="BX4" s="166">
        <f>IFERROR(__xludf.DUMMYFUNCTION("""COMPUTED_VALUE"""),0.0)</f>
        <v>0</v>
      </c>
      <c r="BY4" s="167" t="str">
        <f>IFERROR(__xludf.DUMMYFUNCTION("""COMPUTED_VALUE"""),"OBSERVADOS")</f>
        <v>OBSERVADOS</v>
      </c>
    </row>
    <row r="5" ht="18.0" customHeight="1">
      <c r="A5" s="123">
        <f t="shared" ref="A5:A63" si="22">1+A4</f>
        <v>2</v>
      </c>
      <c r="B5" s="127" t="str">
        <f>IFERROR(__xludf.DUMMYFUNCTION("""COMPUTED_VALUE"""),"ANTIOQUIANOS")</f>
        <v>ANTIOQUIANOS</v>
      </c>
      <c r="C5" s="128" t="str">
        <f>IFERROR(__xludf.DUMMYFUNCTION("""COMPUTED_VALUE"""),"AUDI ESTELA SAHUANAY HUISACAYNA")</f>
        <v>AUDI ESTELA SAHUANAY HUISACAYNA</v>
      </c>
      <c r="D5" s="128" t="str">
        <f>IFERROR(__xludf.DUMMYFUNCTION("""COMPUTED_VALUE"""),"ESC.LID-0214")</f>
        <v>ESC.LID-0214</v>
      </c>
      <c r="E5" s="128" t="str">
        <f>IFERROR(__xludf.DUMMYFUNCTION("""COMPUTED_VALUE"""),"C1133")</f>
        <v>C1133</v>
      </c>
      <c r="F5" s="127" t="str">
        <f>IFERROR(__xludf.DUMMYFUNCTION("""COMPUTED_VALUE"""),"ARANDA HACHER, FELIPE MANUEL")</f>
        <v>ARANDA HACHER, FELIPE MANUEL</v>
      </c>
      <c r="G5" s="128" t="str">
        <f>IFERROR(__xludf.DUMMYFUNCTION("""COMPUTED_VALUE"""),"42973857")</f>
        <v>42973857</v>
      </c>
      <c r="H5" s="128" t="str">
        <f>IFERROR(__xludf.DUMMYFUNCTION("""COMPUTED_VALUE"""),"928606678")</f>
        <v>928606678</v>
      </c>
      <c r="I5" s="129"/>
      <c r="J5" s="129">
        <f>DEVO!F6</f>
        <v>31169</v>
      </c>
      <c r="K5" s="129">
        <f t="shared" si="1"/>
        <v>31169</v>
      </c>
      <c r="L5" s="131">
        <f>IF(TODAY()&gt;=$O$1-6,SUM(OFFSET(ASISTENCIA!$E$1,MATCH($G5,ASISTENCIA!$E:$E,0)-1,MATCH(L$1,ASISTENCIA!$3:$3,0)-5,1,1)),"")</f>
        <v>0</v>
      </c>
      <c r="M5" s="131" t="str">
        <f>OFFSET(ASISTENCIA!$E$1,MATCH($G5,ASISTENCIA!$E:$E,0)-1,MATCH(M$1,ASISTENCIA!$3:$3,0)-5,1,1)</f>
        <v/>
      </c>
      <c r="N5" s="131" t="str">
        <f>OFFSET(ASISTENCIA!$E$1,MATCH($G5,ASISTENCIA!$E:$E,0)-1,MATCH(N$1,ASISTENCIA!$3:$3,0)-5,1,1)</f>
        <v/>
      </c>
      <c r="O5" s="136">
        <f>IF(TODAY()&gt;=$O$1-6,SUM(OFFSET(DEVO!$F$1,MATCH($G5,DEVO!$E:$E,0)-1,MATCH(L$1,DEVO!$1:$1,0)-6,1,7)),"")</f>
        <v>0</v>
      </c>
      <c r="P5" s="131">
        <f>IF(TODAY()&gt;=$S$1-6,SUM(OFFSET(ASISTENCIA!$E$1,MATCH($G5,ASISTENCIA!$E:$E,0)-1,MATCH(P$1,ASISTENCIA!$3:$3,0)-5,1,1)),"")</f>
        <v>0</v>
      </c>
      <c r="Q5" s="131" t="str">
        <f>OFFSET(ASISTENCIA!$E$1,MATCH($G5,ASISTENCIA!$E:$E,0)-1,MATCH(Q$1,ASISTENCIA!$3:$3,0)-5,1,1)</f>
        <v/>
      </c>
      <c r="R5" s="131" t="str">
        <f>OFFSET(ASISTENCIA!$E$1,MATCH($G5,ASISTENCIA!$E:$E,0)-1,MATCH(R$1,ASISTENCIA!$3:$3,0)-5,1,1)</f>
        <v/>
      </c>
      <c r="S5" s="136">
        <f>IF(TODAY()&gt;=$S$1-6,SUM(OFFSET(DEVO!$F$1,MATCH($G5,DEVO!$E:$E,0)-1,MATCH(P$1,DEVO!$1:$1,0)-6,1,7)),"")</f>
        <v>0</v>
      </c>
      <c r="T5" s="131">
        <f>IF(TODAY()&gt;=$W$1-6,SUM(OFFSET(ASISTENCIA!$E$1,MATCH($G5,ASISTENCIA!$E:$E,0)-1,MATCH(T$1,ASISTENCIA!$3:$3,0)-5,1,1)),"")</f>
        <v>0</v>
      </c>
      <c r="U5" s="131" t="str">
        <f>OFFSET(ASISTENCIA!$E$1,MATCH($G5,ASISTENCIA!$E:$E,0)-1,MATCH(U$1,ASISTENCIA!$3:$3,0)-5,1,1)</f>
        <v/>
      </c>
      <c r="V5" s="131" t="str">
        <f>OFFSET(ASISTENCIA!$E$1,MATCH($G5,ASISTENCIA!$E:$E,0)-1,MATCH(V$1,ASISTENCIA!$3:$3,0)-5,1,1)</f>
        <v/>
      </c>
      <c r="W5" s="136">
        <f>IF(TODAY()&gt;=$W$1-6,SUM(OFFSET(DEVO!$F$1,MATCH($G5,DEVO!$E:$E,0)-1,MATCH(T$1,DEVO!$1:$1,0)-6,1,7)),"")</f>
        <v>0</v>
      </c>
      <c r="X5" s="131">
        <f>IF(TODAY()&gt;=$AA$1-6,SUM(OFFSET(ASISTENCIA!$E$1,MATCH($G5,ASISTENCIA!$E:$E,0)-1,MATCH(X$1,ASISTENCIA!$3:$3,0)-5,1,1)),"")</f>
        <v>0</v>
      </c>
      <c r="Y5" s="131" t="str">
        <f>OFFSET(ASISTENCIA!$E$1,MATCH($G5,ASISTENCIA!$E:$E,0)-1,MATCH(Y$1,ASISTENCIA!$3:$3,0)-5,1,1)</f>
        <v/>
      </c>
      <c r="Z5" s="131" t="str">
        <f>OFFSET(ASISTENCIA!$E$1,MATCH($G5,ASISTENCIA!$E:$E,0)-1,MATCH(Z$1,ASISTENCIA!$3:$3,0)-5,1,1)</f>
        <v/>
      </c>
      <c r="AA5" s="136">
        <f>IF(TODAY()&gt;=$AA$1-6,SUM(OFFSET(DEVO!$F$1,MATCH($G5,DEVO!$E:$E,0)-1,MATCH(X$1,DEVO!$1:$1,0)-6,1,7)),"")</f>
        <v>0</v>
      </c>
      <c r="AB5" s="131">
        <f>IF(TODAY()&gt;=$AE$1-6,SUM(OFFSET(ASISTENCIA!$E$1,MATCH($G5,ASISTENCIA!$E:$E,0)-1,MATCH(AB$1,ASISTENCIA!$3:$3,0)-5,1,1)),"")</f>
        <v>0</v>
      </c>
      <c r="AC5" s="131" t="str">
        <f>OFFSET(ASISTENCIA!$E$1,MATCH($G5,ASISTENCIA!$E:$E,0)-1,MATCH(AC$1,ASISTENCIA!$3:$3,0)-5,1,1)</f>
        <v/>
      </c>
      <c r="AD5" s="131" t="str">
        <f>OFFSET(ASISTENCIA!$E$1,MATCH($G5,ASISTENCIA!$E:$E,0)-1,MATCH(AD$1,ASISTENCIA!$3:$3,0)-5,1,1)</f>
        <v/>
      </c>
      <c r="AE5" s="136">
        <f>IF(TODAY()&gt;=$AE$1-6,SUM(OFFSET(DEVO!$F$1,MATCH($G5,DEVO!$E:$E,0)-1,MATCH(AB$1,DEVO!$1:$1,0)-6,1,7)),"")</f>
        <v>0</v>
      </c>
      <c r="AF5" s="131">
        <f>IF(TODAY()&gt;=$AI$1-6,SUM(OFFSET(ASISTENCIA!$E$1,MATCH($G5,ASISTENCIA!$E:$E,0)-1,MATCH(AF$1,ASISTENCIA!$3:$3,0)-5,1,1)),"")</f>
        <v>0</v>
      </c>
      <c r="AG5" s="131" t="str">
        <f>OFFSET(ASISTENCIA!$E$1,MATCH($G5,ASISTENCIA!$E:$E,0)-1,MATCH(AG$1,ASISTENCIA!$3:$3,0)-5,1,1)</f>
        <v/>
      </c>
      <c r="AH5" s="131" t="str">
        <f>OFFSET(ASISTENCIA!$E$1,MATCH($G5,ASISTENCIA!$E:$E,0)-1,MATCH(AH$1,ASISTENCIA!$3:$3,0)-5,1,1)</f>
        <v/>
      </c>
      <c r="AI5" s="136">
        <f>IF(TODAY()&gt;=$AI$1-6,SUM(OFFSET(DEVO!$F$1,MATCH($G5,DEVO!$E:$E,0)-1,MATCH(AF$1,DEVO!$1:$1,0)-6,1,7)),"")</f>
        <v>0</v>
      </c>
      <c r="AJ5" s="131">
        <f>IF(TODAY()&gt;=$AM$1-6,SUM(OFFSET(ASISTENCIA!$E$1,MATCH($G5,ASISTENCIA!$E:$E,0)-1,MATCH(AJ$1,ASISTENCIA!$3:$3,0)-5,1,1)),"")</f>
        <v>0</v>
      </c>
      <c r="AK5" s="131" t="str">
        <f>OFFSET(ASISTENCIA!$E$1,MATCH($G5,ASISTENCIA!$E:$E,0)-1,MATCH(AK$1,ASISTENCIA!$3:$3,0)-5,1,1)</f>
        <v/>
      </c>
      <c r="AL5" s="131" t="str">
        <f>OFFSET(ASISTENCIA!$E$1,MATCH($G5,ASISTENCIA!$E:$E,0)-1,MATCH(AL$1,ASISTENCIA!$3:$3,0)-5,1,1)</f>
        <v/>
      </c>
      <c r="AM5" s="136">
        <f>IF(TODAY()&gt;=$AM$1-6,SUM(OFFSET(DEVO!$F$1,MATCH($G5,DEVO!$E:$E,0)-1,MATCH(AJ$1,DEVO!$1:$1,0)-6,1,7)),"")</f>
        <v>0</v>
      </c>
      <c r="AN5" s="131">
        <f>IF(TODAY()&gt;=$AQ$1-6,SUM(OFFSET(ASISTENCIA!$E$1,MATCH($G5,ASISTENCIA!$E:$E,0)-1,MATCH(AN$1,ASISTENCIA!$3:$3,0)-5,1,1)),"")</f>
        <v>0</v>
      </c>
      <c r="AO5" s="131" t="str">
        <f>OFFSET(ASISTENCIA!$E$1,MATCH($G5,ASISTENCIA!$E:$E,0)-1,MATCH(AO$1,ASISTENCIA!$3:$3,0)-5,1,1)</f>
        <v/>
      </c>
      <c r="AP5" s="131" t="str">
        <f>OFFSET(ASISTENCIA!$E$1,MATCH($G5,ASISTENCIA!$E:$E,0)-1,MATCH(AP$1,ASISTENCIA!$3:$3,0)-5,1,1)</f>
        <v/>
      </c>
      <c r="AQ5" s="136">
        <f>IF(TODAY()&gt;=$AQ$1-6,SUM(OFFSET(DEVO!$F$1,MATCH($G5,DEVO!$E:$E,0)-1,MATCH(AN$1,DEVO!$1:$1,0)-6,1,7)),"")</f>
        <v>0</v>
      </c>
      <c r="AR5" s="131">
        <f>IF(TODAY()&gt;=$AU$1-6,SUM(OFFSET(ASISTENCIA!$E$1,MATCH($G5,ASISTENCIA!$E:$E,0)-1,MATCH(AR$1,ASISTENCIA!$3:$3,0)-5,1,1)),"")</f>
        <v>0</v>
      </c>
      <c r="AS5" s="131" t="str">
        <f>OFFSET(ASISTENCIA!$E$1,MATCH($G5,ASISTENCIA!$E:$E,0)-1,MATCH(AS$1,ASISTENCIA!$3:$3,0)-5,1,1)</f>
        <v/>
      </c>
      <c r="AT5" s="131" t="str">
        <f>OFFSET(ASISTENCIA!$E$1,MATCH($G5,ASISTENCIA!$E:$E,0)-1,MATCH(AT$1,ASISTENCIA!$3:$3,0)-5,1,1)</f>
        <v/>
      </c>
      <c r="AU5" s="136">
        <f>IF(TODAY()&gt;=$AU$1-6,SUM(OFFSET(DEVO!$F$1,MATCH($G5,DEVO!$E:$E,0)-1,MATCH(AR$1,DEVO!$1:$1,0)-6,1,7)),"")</f>
        <v>0</v>
      </c>
      <c r="AV5" s="131" t="str">
        <f>OFFSET(ASISTENCIA!$E$1,MATCH($G5,ASISTENCIA!$E:$E,0)-1,MATCH(AV$1,ASISTENCIA!$3:$3,0)-5,1,1)</f>
        <v/>
      </c>
      <c r="AW5" s="131" t="str">
        <f>OFFSET(ASISTENCIA!$E$1,MATCH($G5,ASISTENCIA!$E:$E,0)-1,MATCH(AW$1,ASISTENCIA!$3:$3,0)-5,1,1)</f>
        <v/>
      </c>
      <c r="AY5" s="173">
        <f t="shared" si="2"/>
        <v>0</v>
      </c>
      <c r="AZ5" s="174">
        <f t="shared" si="3"/>
        <v>0</v>
      </c>
      <c r="BA5" s="174">
        <f t="shared" si="4"/>
        <v>0</v>
      </c>
      <c r="BB5" s="174">
        <f t="shared" si="5"/>
        <v>0</v>
      </c>
      <c r="BC5" s="174">
        <f t="shared" si="6"/>
        <v>0</v>
      </c>
      <c r="BD5" s="174">
        <f t="shared" si="7"/>
        <v>0</v>
      </c>
      <c r="BE5" s="174">
        <f t="shared" si="8"/>
        <v>0</v>
      </c>
      <c r="BF5" s="174">
        <f t="shared" si="9"/>
        <v>0</v>
      </c>
      <c r="BG5" s="174">
        <f t="shared" si="10"/>
        <v>0</v>
      </c>
      <c r="BH5" s="152">
        <f t="shared" si="11"/>
        <v>0</v>
      </c>
      <c r="BI5" s="153" t="str">
        <f t="shared" si="12"/>
        <v>OBSERVADOS</v>
      </c>
      <c r="BJ5" s="175" t="str">
        <f t="shared" si="13"/>
        <v>OBSERVADOS</v>
      </c>
      <c r="BK5" s="176" t="str">
        <f t="shared" si="14"/>
        <v>OBSERVADOS</v>
      </c>
      <c r="BL5" s="176" t="str">
        <f t="shared" si="15"/>
        <v>OBSERVADOS</v>
      </c>
      <c r="BM5" s="176" t="str">
        <f t="shared" si="16"/>
        <v>OBSERVADOS</v>
      </c>
      <c r="BN5" s="176" t="str">
        <f t="shared" si="17"/>
        <v>OBSERVADOS</v>
      </c>
      <c r="BO5" s="176" t="str">
        <f t="shared" si="18"/>
        <v>OBSERVADOS</v>
      </c>
      <c r="BP5" s="176" t="str">
        <f t="shared" si="19"/>
        <v>OBSERVADOS</v>
      </c>
      <c r="BQ5" s="176" t="str">
        <f t="shared" si="20"/>
        <v>OBSERVADOS</v>
      </c>
      <c r="BR5" s="176" t="str">
        <f t="shared" si="21"/>
        <v>OBSERVADOS</v>
      </c>
      <c r="BS5" s="162" t="str">
        <f>OFFSET(ASISTENCIA!$E$1,MATCH($G5,ASISTENCIA!$E:$E,0)-1,MATCH(BS$1,ASISTENCIA!$3:$3,0)-5,1,1)</f>
        <v>No responde el alumno ni el lider</v>
      </c>
      <c r="BT5" s="177" t="str">
        <f>OFFSET(ASISTENCIA!$E$1,MATCH($G5,ASISTENCIA!$E:$E,0)-1,MATCH(BT$1,ASISTENCIA!$3:$3,0)-5,1,1)</f>
        <v>William Bonifacio </v>
      </c>
      <c r="BU5" s="178" t="str">
        <f>OFFSET(ASISTENCIA!$E$1,MATCH($G5,ASISTENCIA!$E:$E,0)-1,MATCH(BU$1,ASISTENCIA!$3:$3,0)-5,1,1)</f>
        <v>981070518</v>
      </c>
      <c r="BV5" s="178" t="str">
        <f>OFFSET(ASISTENCIA!$E$1,MATCH($G5,ASISTENCIA!$E:$E,0)-1,MATCH(BV$1,ASISTENCIA!$3:$3,0)-5,1,1)</f>
        <v/>
      </c>
      <c r="BW5" s="165"/>
      <c r="BX5" s="179">
        <f>IFERROR(__xludf.DUMMYFUNCTION("""COMPUTED_VALUE"""),6.111111111111112)</f>
        <v>6.111111111</v>
      </c>
      <c r="BY5" s="180" t="str">
        <f>IFERROR(__xludf.DUMMYFUNCTION("""COMPUTED_VALUE"""),"OBSERVADOS")</f>
        <v>OBSERVADOS</v>
      </c>
    </row>
    <row r="6" ht="18.0" customHeight="1">
      <c r="A6" s="123">
        <f t="shared" si="22"/>
        <v>3</v>
      </c>
      <c r="B6" s="127" t="str">
        <f>IFERROR(__xludf.DUMMYFUNCTION("""COMPUTED_VALUE"""),"ANTIOQUIANOS")</f>
        <v>ANTIOQUIANOS</v>
      </c>
      <c r="C6" s="128" t="str">
        <f>IFERROR(__xludf.DUMMYFUNCTION("""COMPUTED_VALUE"""),"AUDI ESTELA SAHUANAY HUISACAYNA")</f>
        <v>AUDI ESTELA SAHUANAY HUISACAYNA</v>
      </c>
      <c r="D6" s="128" t="str">
        <f>IFERROR(__xludf.DUMMYFUNCTION("""COMPUTED_VALUE"""),"ESC.LID-0221")</f>
        <v>ESC.LID-0221</v>
      </c>
      <c r="E6" s="127" t="str">
        <f>IFERROR(__xludf.DUMMYFUNCTION("""COMPUTED_VALUE"""),"C117")</f>
        <v>C117</v>
      </c>
      <c r="F6" s="127" t="str">
        <f>IFERROR(__xludf.DUMMYFUNCTION("""COMPUTED_VALUE"""),"CACERES VARGAS, WILBER ALFREDO")</f>
        <v>CACERES VARGAS, WILBER ALFREDO</v>
      </c>
      <c r="G6" s="128" t="str">
        <f>IFERROR(__xludf.DUMMYFUNCTION("""COMPUTED_VALUE"""),"09481596")</f>
        <v>09481596</v>
      </c>
      <c r="H6" s="128" t="str">
        <f>IFERROR(__xludf.DUMMYFUNCTION("""COMPUTED_VALUE"""),"962943845")</f>
        <v>962943845</v>
      </c>
      <c r="I6" s="129"/>
      <c r="J6" s="129">
        <f>DEVO!F7</f>
        <v>25381</v>
      </c>
      <c r="K6" s="129">
        <f t="shared" si="1"/>
        <v>25381</v>
      </c>
      <c r="L6" s="131">
        <f>IF(TODAY()&gt;=$O$1-6,SUM(OFFSET(ASISTENCIA!$E$1,MATCH($G6,ASISTENCIA!$E:$E,0)-1,MATCH(L$1,ASISTENCIA!$3:$3,0)-5,1,1)),"")</f>
        <v>0</v>
      </c>
      <c r="M6" s="131" t="str">
        <f>OFFSET(ASISTENCIA!$E$1,MATCH($G6,ASISTENCIA!$E:$E,0)-1,MATCH(M$1,ASISTENCIA!$3:$3,0)-5,1,1)</f>
        <v/>
      </c>
      <c r="N6" s="131" t="str">
        <f>OFFSET(ASISTENCIA!$E$1,MATCH($G6,ASISTENCIA!$E:$E,0)-1,MATCH(N$1,ASISTENCIA!$3:$3,0)-5,1,1)</f>
        <v/>
      </c>
      <c r="O6" s="136">
        <f>IF(TODAY()&gt;=$O$1-6,SUM(OFFSET(DEVO!$F$1,MATCH($G6,DEVO!$E:$E,0)-1,MATCH(L$1,DEVO!$1:$1,0)-6,1,7)),"")</f>
        <v>0</v>
      </c>
      <c r="P6" s="131">
        <f>IF(TODAY()&gt;=$S$1-6,SUM(OFFSET(ASISTENCIA!$E$1,MATCH($G6,ASISTENCIA!$E:$E,0)-1,MATCH(P$1,ASISTENCIA!$3:$3,0)-5,1,1)),"")</f>
        <v>0</v>
      </c>
      <c r="Q6" s="131" t="str">
        <f>OFFSET(ASISTENCIA!$E$1,MATCH($G6,ASISTENCIA!$E:$E,0)-1,MATCH(Q$1,ASISTENCIA!$3:$3,0)-5,1,1)</f>
        <v/>
      </c>
      <c r="R6" s="131" t="str">
        <f>OFFSET(ASISTENCIA!$E$1,MATCH($G6,ASISTENCIA!$E:$E,0)-1,MATCH(R$1,ASISTENCIA!$3:$3,0)-5,1,1)</f>
        <v/>
      </c>
      <c r="S6" s="136">
        <f>IF(TODAY()&gt;=$S$1-6,SUM(OFFSET(DEVO!$F$1,MATCH($G6,DEVO!$E:$E,0)-1,MATCH(P$1,DEVO!$1:$1,0)-6,1,7)),"")</f>
        <v>0</v>
      </c>
      <c r="T6" s="131">
        <f>IF(TODAY()&gt;=$W$1-6,SUM(OFFSET(ASISTENCIA!$E$1,MATCH($G6,ASISTENCIA!$E:$E,0)-1,MATCH(T$1,ASISTENCIA!$3:$3,0)-5,1,1)),"")</f>
        <v>0</v>
      </c>
      <c r="U6" s="131" t="str">
        <f>OFFSET(ASISTENCIA!$E$1,MATCH($G6,ASISTENCIA!$E:$E,0)-1,MATCH(U$1,ASISTENCIA!$3:$3,0)-5,1,1)</f>
        <v/>
      </c>
      <c r="V6" s="131" t="str">
        <f>OFFSET(ASISTENCIA!$E$1,MATCH($G6,ASISTENCIA!$E:$E,0)-1,MATCH(V$1,ASISTENCIA!$3:$3,0)-5,1,1)</f>
        <v/>
      </c>
      <c r="W6" s="136">
        <f>IF(TODAY()&gt;=$W$1-6,SUM(OFFSET(DEVO!$F$1,MATCH($G6,DEVO!$E:$E,0)-1,MATCH(T$1,DEVO!$1:$1,0)-6,1,7)),"")</f>
        <v>0</v>
      </c>
      <c r="X6" s="131">
        <f>IF(TODAY()&gt;=$AA$1-6,SUM(OFFSET(ASISTENCIA!$E$1,MATCH($G6,ASISTENCIA!$E:$E,0)-1,MATCH(X$1,ASISTENCIA!$3:$3,0)-5,1,1)),"")</f>
        <v>0</v>
      </c>
      <c r="Y6" s="131" t="str">
        <f>OFFSET(ASISTENCIA!$E$1,MATCH($G6,ASISTENCIA!$E:$E,0)-1,MATCH(Y$1,ASISTENCIA!$3:$3,0)-5,1,1)</f>
        <v/>
      </c>
      <c r="Z6" s="131" t="str">
        <f>OFFSET(ASISTENCIA!$E$1,MATCH($G6,ASISTENCIA!$E:$E,0)-1,MATCH(Z$1,ASISTENCIA!$3:$3,0)-5,1,1)</f>
        <v/>
      </c>
      <c r="AA6" s="136">
        <f>IF(TODAY()&gt;=$AA$1-6,SUM(OFFSET(DEVO!$F$1,MATCH($G6,DEVO!$E:$E,0)-1,MATCH(X$1,DEVO!$1:$1,0)-6,1,7)),"")</f>
        <v>0</v>
      </c>
      <c r="AB6" s="131">
        <f>IF(TODAY()&gt;=$AE$1-6,SUM(OFFSET(ASISTENCIA!$E$1,MATCH($G6,ASISTENCIA!$E:$E,0)-1,MATCH(AB$1,ASISTENCIA!$3:$3,0)-5,1,1)),"")</f>
        <v>0</v>
      </c>
      <c r="AC6" s="131" t="str">
        <f>OFFSET(ASISTENCIA!$E$1,MATCH($G6,ASISTENCIA!$E:$E,0)-1,MATCH(AC$1,ASISTENCIA!$3:$3,0)-5,1,1)</f>
        <v/>
      </c>
      <c r="AD6" s="131" t="str">
        <f>OFFSET(ASISTENCIA!$E$1,MATCH($G6,ASISTENCIA!$E:$E,0)-1,MATCH(AD$1,ASISTENCIA!$3:$3,0)-5,1,1)</f>
        <v/>
      </c>
      <c r="AE6" s="136">
        <f>IF(TODAY()&gt;=$AE$1-6,SUM(OFFSET(DEVO!$F$1,MATCH($G6,DEVO!$E:$E,0)-1,MATCH(AB$1,DEVO!$1:$1,0)-6,1,7)),"")</f>
        <v>0</v>
      </c>
      <c r="AF6" s="131">
        <f>IF(TODAY()&gt;=$AI$1-6,SUM(OFFSET(ASISTENCIA!$E$1,MATCH($G6,ASISTENCIA!$E:$E,0)-1,MATCH(AF$1,ASISTENCIA!$3:$3,0)-5,1,1)),"")</f>
        <v>0</v>
      </c>
      <c r="AG6" s="131" t="str">
        <f>OFFSET(ASISTENCIA!$E$1,MATCH($G6,ASISTENCIA!$E:$E,0)-1,MATCH(AG$1,ASISTENCIA!$3:$3,0)-5,1,1)</f>
        <v/>
      </c>
      <c r="AH6" s="131" t="str">
        <f>OFFSET(ASISTENCIA!$E$1,MATCH($G6,ASISTENCIA!$E:$E,0)-1,MATCH(AH$1,ASISTENCIA!$3:$3,0)-5,1,1)</f>
        <v/>
      </c>
      <c r="AI6" s="136">
        <f>IF(TODAY()&gt;=$AI$1-6,SUM(OFFSET(DEVO!$F$1,MATCH($G6,DEVO!$E:$E,0)-1,MATCH(AF$1,DEVO!$1:$1,0)-6,1,7)),"")</f>
        <v>0</v>
      </c>
      <c r="AJ6" s="131">
        <f>IF(TODAY()&gt;=$AM$1-6,SUM(OFFSET(ASISTENCIA!$E$1,MATCH($G6,ASISTENCIA!$E:$E,0)-1,MATCH(AJ$1,ASISTENCIA!$3:$3,0)-5,1,1)),"")</f>
        <v>0</v>
      </c>
      <c r="AK6" s="131" t="str">
        <f>OFFSET(ASISTENCIA!$E$1,MATCH($G6,ASISTENCIA!$E:$E,0)-1,MATCH(AK$1,ASISTENCIA!$3:$3,0)-5,1,1)</f>
        <v/>
      </c>
      <c r="AL6" s="131" t="str">
        <f>OFFSET(ASISTENCIA!$E$1,MATCH($G6,ASISTENCIA!$E:$E,0)-1,MATCH(AL$1,ASISTENCIA!$3:$3,0)-5,1,1)</f>
        <v/>
      </c>
      <c r="AM6" s="136">
        <f>IF(TODAY()&gt;=$AM$1-6,SUM(OFFSET(DEVO!$F$1,MATCH($G6,DEVO!$E:$E,0)-1,MATCH(AJ$1,DEVO!$1:$1,0)-6,1,7)),"")</f>
        <v>0</v>
      </c>
      <c r="AN6" s="131">
        <f>IF(TODAY()&gt;=$AQ$1-6,SUM(OFFSET(ASISTENCIA!$E$1,MATCH($G6,ASISTENCIA!$E:$E,0)-1,MATCH(AN$1,ASISTENCIA!$3:$3,0)-5,1,1)),"")</f>
        <v>0</v>
      </c>
      <c r="AO6" s="131" t="str">
        <f>OFFSET(ASISTENCIA!$E$1,MATCH($G6,ASISTENCIA!$E:$E,0)-1,MATCH(AO$1,ASISTENCIA!$3:$3,0)-5,1,1)</f>
        <v/>
      </c>
      <c r="AP6" s="131" t="str">
        <f>OFFSET(ASISTENCIA!$E$1,MATCH($G6,ASISTENCIA!$E:$E,0)-1,MATCH(AP$1,ASISTENCIA!$3:$3,0)-5,1,1)</f>
        <v/>
      </c>
      <c r="AQ6" s="136">
        <f>IF(TODAY()&gt;=$AQ$1-6,SUM(OFFSET(DEVO!$F$1,MATCH($G6,DEVO!$E:$E,0)-1,MATCH(AN$1,DEVO!$1:$1,0)-6,1,7)),"")</f>
        <v>0</v>
      </c>
      <c r="AR6" s="131">
        <f>IF(TODAY()&gt;=$AU$1-6,SUM(OFFSET(ASISTENCIA!$E$1,MATCH($G6,ASISTENCIA!$E:$E,0)-1,MATCH(AR$1,ASISTENCIA!$3:$3,0)-5,1,1)),"")</f>
        <v>0</v>
      </c>
      <c r="AS6" s="131" t="str">
        <f>OFFSET(ASISTENCIA!$E$1,MATCH($G6,ASISTENCIA!$E:$E,0)-1,MATCH(AS$1,ASISTENCIA!$3:$3,0)-5,1,1)</f>
        <v/>
      </c>
      <c r="AT6" s="131" t="str">
        <f>OFFSET(ASISTENCIA!$E$1,MATCH($G6,ASISTENCIA!$E:$E,0)-1,MATCH(AT$1,ASISTENCIA!$3:$3,0)-5,1,1)</f>
        <v/>
      </c>
      <c r="AU6" s="136">
        <f>IF(TODAY()&gt;=$AU$1-6,SUM(OFFSET(DEVO!$F$1,MATCH($G6,DEVO!$E:$E,0)-1,MATCH(AR$1,DEVO!$1:$1,0)-6,1,7)),"")</f>
        <v>0</v>
      </c>
      <c r="AV6" s="131" t="str">
        <f>OFFSET(ASISTENCIA!$E$1,MATCH($G6,ASISTENCIA!$E:$E,0)-1,MATCH(AV$1,ASISTENCIA!$3:$3,0)-5,1,1)</f>
        <v/>
      </c>
      <c r="AW6" s="131" t="str">
        <f>OFFSET(ASISTENCIA!$E$1,MATCH($G6,ASISTENCIA!$E:$E,0)-1,MATCH(AW$1,ASISTENCIA!$3:$3,0)-5,1,1)</f>
        <v/>
      </c>
      <c r="AY6" s="173">
        <f t="shared" si="2"/>
        <v>0</v>
      </c>
      <c r="AZ6" s="174">
        <f t="shared" si="3"/>
        <v>0</v>
      </c>
      <c r="BA6" s="174">
        <f t="shared" si="4"/>
        <v>0</v>
      </c>
      <c r="BB6" s="174">
        <f t="shared" si="5"/>
        <v>0</v>
      </c>
      <c r="BC6" s="174">
        <f t="shared" si="6"/>
        <v>0</v>
      </c>
      <c r="BD6" s="174">
        <f t="shared" si="7"/>
        <v>0</v>
      </c>
      <c r="BE6" s="174">
        <f t="shared" si="8"/>
        <v>0</v>
      </c>
      <c r="BF6" s="174">
        <f t="shared" si="9"/>
        <v>0</v>
      </c>
      <c r="BG6" s="174">
        <f t="shared" si="10"/>
        <v>0</v>
      </c>
      <c r="BH6" s="152">
        <f t="shared" si="11"/>
        <v>0</v>
      </c>
      <c r="BI6" s="153" t="str">
        <f t="shared" si="12"/>
        <v>OBSERVADOS</v>
      </c>
      <c r="BJ6" s="175" t="str">
        <f t="shared" si="13"/>
        <v>OBSERVADOS</v>
      </c>
      <c r="BK6" s="176" t="str">
        <f t="shared" si="14"/>
        <v>OBSERVADOS</v>
      </c>
      <c r="BL6" s="176" t="str">
        <f t="shared" si="15"/>
        <v>OBSERVADOS</v>
      </c>
      <c r="BM6" s="176" t="str">
        <f t="shared" si="16"/>
        <v>OBSERVADOS</v>
      </c>
      <c r="BN6" s="176" t="str">
        <f t="shared" si="17"/>
        <v>OBSERVADOS</v>
      </c>
      <c r="BO6" s="176" t="str">
        <f t="shared" si="18"/>
        <v>OBSERVADOS</v>
      </c>
      <c r="BP6" s="176" t="str">
        <f t="shared" si="19"/>
        <v>OBSERVADOS</v>
      </c>
      <c r="BQ6" s="176" t="str">
        <f t="shared" si="20"/>
        <v>OBSERVADOS</v>
      </c>
      <c r="BR6" s="176" t="str">
        <f t="shared" si="21"/>
        <v>OBSERVADOS</v>
      </c>
      <c r="BS6" s="162" t="str">
        <f>OFFSET(ASISTENCIA!$E$1,MATCH($G6,ASISTENCIA!$E:$E,0)-1,MATCH(BS$1,ASISTENCIA!$3:$3,0)-5,1,1)</f>
        <v>Se converso con su lider , dijo que el alumno está apoyando a su esposa enferma </v>
      </c>
      <c r="BT6" s="177" t="str">
        <f>OFFSET(ASISTENCIA!$E$1,MATCH($G6,ASISTENCIA!$E:$E,0)-1,MATCH(BT$1,ASISTENCIA!$3:$3,0)-5,1,1)</f>
        <v>Edwin Montano </v>
      </c>
      <c r="BU6" s="178" t="str">
        <f>OFFSET(ASISTENCIA!$E$1,MATCH($G6,ASISTENCIA!$E:$E,0)-1,MATCH(BU$1,ASISTENCIA!$3:$3,0)-5,1,1)</f>
        <v>989039557</v>
      </c>
      <c r="BV6" s="178" t="str">
        <f>OFFSET(ASISTENCIA!$E$1,MATCH($G6,ASISTENCIA!$E:$E,0)-1,MATCH(BV$1,ASISTENCIA!$3:$3,0)-5,1,1)</f>
        <v/>
      </c>
      <c r="BW6" s="165"/>
      <c r="BX6" s="179">
        <f>IFERROR(__xludf.DUMMYFUNCTION("""COMPUTED_VALUE"""),6.121111111111111)</f>
        <v>6.121111111</v>
      </c>
      <c r="BY6" s="201" t="str">
        <f>IFERROR(__xludf.DUMMYFUNCTION("""COMPUTED_VALUE"""),"REGULARES")</f>
        <v>REGULARES</v>
      </c>
    </row>
    <row r="7" ht="18.0" customHeight="1">
      <c r="A7" s="123">
        <f t="shared" si="22"/>
        <v>4</v>
      </c>
      <c r="B7" s="127" t="str">
        <f>IFERROR(__xludf.DUMMYFUNCTION("""COMPUTED_VALUE"""),"ANTIOQUIANOS")</f>
        <v>ANTIOQUIANOS</v>
      </c>
      <c r="C7" s="128" t="str">
        <f>IFERROR(__xludf.DUMMYFUNCTION("""COMPUTED_VALUE"""),"AUDI ESTELA SAHUANAY HUISACAYNA")</f>
        <v>AUDI ESTELA SAHUANAY HUISACAYNA</v>
      </c>
      <c r="D7" s="128" t="str">
        <f>IFERROR(__xludf.DUMMYFUNCTION("""COMPUTED_VALUE"""),"ESC.LID-0227")</f>
        <v>ESC.LID-0227</v>
      </c>
      <c r="E7" s="128" t="str">
        <f>IFERROR(__xludf.DUMMYFUNCTION("""COMPUTED_VALUE"""),"C213F")</f>
        <v>C213F</v>
      </c>
      <c r="F7" s="127" t="str">
        <f>IFERROR(__xludf.DUMMYFUNCTION("""COMPUTED_VALUE"""),"COMENTERO CARREÑO, MAYLY")</f>
        <v>COMENTERO CARREÑO, MAYLY</v>
      </c>
      <c r="G7" s="128" t="str">
        <f>IFERROR(__xludf.DUMMYFUNCTION("""COMPUTED_VALUE"""),"76057551")</f>
        <v>76057551</v>
      </c>
      <c r="H7" s="128" t="str">
        <f>IFERROR(__xludf.DUMMYFUNCTION("""COMPUTED_VALUE"""),"903410536")</f>
        <v>903410536</v>
      </c>
      <c r="I7" s="129"/>
      <c r="J7" s="129">
        <f>DEVO!F8</f>
        <v>38334</v>
      </c>
      <c r="K7" s="129">
        <f t="shared" si="1"/>
        <v>38334</v>
      </c>
      <c r="L7" s="131">
        <f>IF(TODAY()&gt;=$O$1-6,SUM(OFFSET(ASISTENCIA!$E$1,MATCH($G7,ASISTENCIA!$E:$E,0)-1,MATCH(L$1,ASISTENCIA!$3:$3,0)-5,1,1)),"")</f>
        <v>1</v>
      </c>
      <c r="M7" s="131" t="str">
        <f>OFFSET(ASISTENCIA!$E$1,MATCH($G7,ASISTENCIA!$E:$E,0)-1,MATCH(M$1,ASISTENCIA!$3:$3,0)-5,1,1)</f>
        <v/>
      </c>
      <c r="N7" s="131" t="str">
        <f>OFFSET(ASISTENCIA!$E$1,MATCH($G7,ASISTENCIA!$E:$E,0)-1,MATCH(N$1,ASISTENCIA!$3:$3,0)-5,1,1)</f>
        <v/>
      </c>
      <c r="O7" s="136">
        <f>IF(TODAY()&gt;=$O$1-6,SUM(OFFSET(DEVO!$F$1,MATCH($G7,DEVO!$E:$E,0)-1,MATCH(L$1,DEVO!$1:$1,0)-6,1,7)),"")</f>
        <v>0</v>
      </c>
      <c r="P7" s="131">
        <f>IF(TODAY()&gt;=$S$1-6,SUM(OFFSET(ASISTENCIA!$E$1,MATCH($G7,ASISTENCIA!$E:$E,0)-1,MATCH(P$1,ASISTENCIA!$3:$3,0)-5,1,1)),"")</f>
        <v>4</v>
      </c>
      <c r="Q7" s="131" t="str">
        <f>OFFSET(ASISTENCIA!$E$1,MATCH($G7,ASISTENCIA!$E:$E,0)-1,MATCH(Q$1,ASISTENCIA!$3:$3,0)-5,1,1)</f>
        <v/>
      </c>
      <c r="R7" s="131">
        <f>OFFSET(ASISTENCIA!$E$1,MATCH($G7,ASISTENCIA!$E:$E,0)-1,MATCH(R$1,ASISTENCIA!$3:$3,0)-5,1,1)</f>
        <v>1</v>
      </c>
      <c r="S7" s="136">
        <f>IF(TODAY()&gt;=$S$1-6,SUM(OFFSET(DEVO!$F$1,MATCH($G7,DEVO!$E:$E,0)-1,MATCH(P$1,DEVO!$1:$1,0)-6,1,7)),"")</f>
        <v>0</v>
      </c>
      <c r="T7" s="131">
        <f>IF(TODAY()&gt;=$W$1-6,SUM(OFFSET(ASISTENCIA!$E$1,MATCH($G7,ASISTENCIA!$E:$E,0)-1,MATCH(T$1,ASISTENCIA!$3:$3,0)-5,1,1)),"")</f>
        <v>3</v>
      </c>
      <c r="U7" s="131" t="str">
        <f>OFFSET(ASISTENCIA!$E$1,MATCH($G7,ASISTENCIA!$E:$E,0)-1,MATCH(U$1,ASISTENCIA!$3:$3,0)-5,1,1)</f>
        <v/>
      </c>
      <c r="V7" s="131" t="str">
        <f>OFFSET(ASISTENCIA!$E$1,MATCH($G7,ASISTENCIA!$E:$E,0)-1,MATCH(V$1,ASISTENCIA!$3:$3,0)-5,1,1)</f>
        <v/>
      </c>
      <c r="W7" s="136">
        <f>IF(TODAY()&gt;=$W$1-6,SUM(OFFSET(DEVO!$F$1,MATCH($G7,DEVO!$E:$E,0)-1,MATCH(T$1,DEVO!$1:$1,0)-6,1,7)),"")</f>
        <v>0</v>
      </c>
      <c r="X7" s="131">
        <f>IF(TODAY()&gt;=$AA$1-6,SUM(OFFSET(ASISTENCIA!$E$1,MATCH($G7,ASISTENCIA!$E:$E,0)-1,MATCH(X$1,ASISTENCIA!$3:$3,0)-5,1,1)),"")</f>
        <v>1</v>
      </c>
      <c r="Y7" s="131" t="str">
        <f>OFFSET(ASISTENCIA!$E$1,MATCH($G7,ASISTENCIA!$E:$E,0)-1,MATCH(Y$1,ASISTENCIA!$3:$3,0)-5,1,1)</f>
        <v/>
      </c>
      <c r="Z7" s="131">
        <f>OFFSET(ASISTENCIA!$E$1,MATCH($G7,ASISTENCIA!$E:$E,0)-1,MATCH(Z$1,ASISTENCIA!$3:$3,0)-5,1,1)</f>
        <v>1</v>
      </c>
      <c r="AA7" s="136">
        <f>IF(TODAY()&gt;=$AA$1-6,SUM(OFFSET(DEVO!$F$1,MATCH($G7,DEVO!$E:$E,0)-1,MATCH(X$1,DEVO!$1:$1,0)-6,1,7)),"")</f>
        <v>0</v>
      </c>
      <c r="AB7" s="131">
        <f>IF(TODAY()&gt;=$AE$1-6,SUM(OFFSET(ASISTENCIA!$E$1,MATCH($G7,ASISTENCIA!$E:$E,0)-1,MATCH(AB$1,ASISTENCIA!$3:$3,0)-5,1,1)),"")</f>
        <v>3</v>
      </c>
      <c r="AC7" s="131" t="str">
        <f>OFFSET(ASISTENCIA!$E$1,MATCH($G7,ASISTENCIA!$E:$E,0)-1,MATCH(AC$1,ASISTENCIA!$3:$3,0)-5,1,1)</f>
        <v/>
      </c>
      <c r="AD7" s="131">
        <f>OFFSET(ASISTENCIA!$E$1,MATCH($G7,ASISTENCIA!$E:$E,0)-1,MATCH(AD$1,ASISTENCIA!$3:$3,0)-5,1,1)</f>
        <v>1</v>
      </c>
      <c r="AE7" s="136">
        <f>IF(TODAY()&gt;=$AE$1-6,SUM(OFFSET(DEVO!$F$1,MATCH($G7,DEVO!$E:$E,0)-1,MATCH(AB$1,DEVO!$1:$1,0)-6,1,7)),"")</f>
        <v>0</v>
      </c>
      <c r="AF7" s="131">
        <f>IF(TODAY()&gt;=$AI$1-6,SUM(OFFSET(ASISTENCIA!$E$1,MATCH($G7,ASISTENCIA!$E:$E,0)-1,MATCH(AF$1,ASISTENCIA!$3:$3,0)-5,1,1)),"")</f>
        <v>1</v>
      </c>
      <c r="AG7" s="131" t="str">
        <f>OFFSET(ASISTENCIA!$E$1,MATCH($G7,ASISTENCIA!$E:$E,0)-1,MATCH(AG$1,ASISTENCIA!$3:$3,0)-5,1,1)</f>
        <v/>
      </c>
      <c r="AH7" s="131">
        <f>OFFSET(ASISTENCIA!$E$1,MATCH($G7,ASISTENCIA!$E:$E,0)-1,MATCH(AH$1,ASISTENCIA!$3:$3,0)-5,1,1)</f>
        <v>1</v>
      </c>
      <c r="AI7" s="136">
        <f>IF(TODAY()&gt;=$AI$1-6,SUM(OFFSET(DEVO!$F$1,MATCH($G7,DEVO!$E:$E,0)-1,MATCH(AF$1,DEVO!$1:$1,0)-6,1,7)),"")</f>
        <v>0</v>
      </c>
      <c r="AJ7" s="131">
        <f>IF(TODAY()&gt;=$AM$1-6,SUM(OFFSET(ASISTENCIA!$E$1,MATCH($G7,ASISTENCIA!$E:$E,0)-1,MATCH(AJ$1,ASISTENCIA!$3:$3,0)-5,1,1)),"")</f>
        <v>1</v>
      </c>
      <c r="AK7" s="131" t="str">
        <f>OFFSET(ASISTENCIA!$E$1,MATCH($G7,ASISTENCIA!$E:$E,0)-1,MATCH(AK$1,ASISTENCIA!$3:$3,0)-5,1,1)</f>
        <v/>
      </c>
      <c r="AL7" s="131">
        <f>OFFSET(ASISTENCIA!$E$1,MATCH($G7,ASISTENCIA!$E:$E,0)-1,MATCH(AL$1,ASISTENCIA!$3:$3,0)-5,1,1)</f>
        <v>1</v>
      </c>
      <c r="AM7" s="136">
        <f>IF(TODAY()&gt;=$AM$1-6,SUM(OFFSET(DEVO!$F$1,MATCH($G7,DEVO!$E:$E,0)-1,MATCH(AJ$1,DEVO!$1:$1,0)-6,1,7)),"")</f>
        <v>0</v>
      </c>
      <c r="AN7" s="131">
        <f>IF(TODAY()&gt;=$AQ$1-6,SUM(OFFSET(ASISTENCIA!$E$1,MATCH($G7,ASISTENCIA!$E:$E,0)-1,MATCH(AN$1,ASISTENCIA!$3:$3,0)-5,1,1)),"")</f>
        <v>2</v>
      </c>
      <c r="AO7" s="131" t="str">
        <f>OFFSET(ASISTENCIA!$E$1,MATCH($G7,ASISTENCIA!$E:$E,0)-1,MATCH(AO$1,ASISTENCIA!$3:$3,0)-5,1,1)</f>
        <v/>
      </c>
      <c r="AP7" s="131">
        <f>OFFSET(ASISTENCIA!$E$1,MATCH($G7,ASISTENCIA!$E:$E,0)-1,MATCH(AP$1,ASISTENCIA!$3:$3,0)-5,1,1)</f>
        <v>1</v>
      </c>
      <c r="AQ7" s="136">
        <f>IF(TODAY()&gt;=$AQ$1-6,SUM(OFFSET(DEVO!$F$1,MATCH($G7,DEVO!$E:$E,0)-1,MATCH(AN$1,DEVO!$1:$1,0)-6,1,7)),"")</f>
        <v>0</v>
      </c>
      <c r="AR7" s="131">
        <f>IF(TODAY()&gt;=$AU$1-6,SUM(OFFSET(ASISTENCIA!$E$1,MATCH($G7,ASISTENCIA!$E:$E,0)-1,MATCH(AR$1,ASISTENCIA!$3:$3,0)-5,1,1)),"")</f>
        <v>2</v>
      </c>
      <c r="AS7" s="131" t="str">
        <f>OFFSET(ASISTENCIA!$E$1,MATCH($G7,ASISTENCIA!$E:$E,0)-1,MATCH(AS$1,ASISTENCIA!$3:$3,0)-5,1,1)</f>
        <v/>
      </c>
      <c r="AT7" s="131">
        <f>OFFSET(ASISTENCIA!$E$1,MATCH($G7,ASISTENCIA!$E:$E,0)-1,MATCH(AT$1,ASISTENCIA!$3:$3,0)-5,1,1)</f>
        <v>1</v>
      </c>
      <c r="AU7" s="136">
        <f>IF(TODAY()&gt;=$AU$1-6,SUM(OFFSET(DEVO!$F$1,MATCH($G7,DEVO!$E:$E,0)-1,MATCH(AR$1,DEVO!$1:$1,0)-6,1,7)),"")</f>
        <v>0</v>
      </c>
      <c r="AV7" s="131">
        <f>OFFSET(ASISTENCIA!$E$1,MATCH($G7,ASISTENCIA!$E:$E,0)-1,MATCH(AV$1,ASISTENCIA!$3:$3,0)-5,1,1)</f>
        <v>0</v>
      </c>
      <c r="AW7" s="131">
        <f>OFFSET(ASISTENCIA!$E$1,MATCH($G7,ASISTENCIA!$E:$E,0)-1,MATCH(AW$1,ASISTENCIA!$3:$3,0)-5,1,1)</f>
        <v>20</v>
      </c>
      <c r="AY7" s="173">
        <f t="shared" si="2"/>
        <v>1</v>
      </c>
      <c r="AZ7" s="174">
        <f t="shared" si="3"/>
        <v>1</v>
      </c>
      <c r="BA7" s="174">
        <f t="shared" si="4"/>
        <v>1</v>
      </c>
      <c r="BB7" s="174">
        <f t="shared" si="5"/>
        <v>1</v>
      </c>
      <c r="BC7" s="174">
        <f t="shared" si="6"/>
        <v>1</v>
      </c>
      <c r="BD7" s="174">
        <f t="shared" si="7"/>
        <v>1</v>
      </c>
      <c r="BE7" s="174">
        <f t="shared" si="8"/>
        <v>1</v>
      </c>
      <c r="BF7" s="174">
        <f t="shared" si="9"/>
        <v>1</v>
      </c>
      <c r="BG7" s="174">
        <f t="shared" si="10"/>
        <v>1</v>
      </c>
      <c r="BH7" s="152">
        <f t="shared" si="11"/>
        <v>10</v>
      </c>
      <c r="BI7" s="153" t="str">
        <f t="shared" si="12"/>
        <v>EXCELENTES</v>
      </c>
      <c r="BJ7" s="175" t="str">
        <f t="shared" si="13"/>
        <v>OBSERVADOS</v>
      </c>
      <c r="BK7" s="176" t="str">
        <f t="shared" si="14"/>
        <v>OBSERVADOS</v>
      </c>
      <c r="BL7" s="176" t="str">
        <f t="shared" si="15"/>
        <v>OBSERVADOS</v>
      </c>
      <c r="BM7" s="176" t="str">
        <f t="shared" si="16"/>
        <v>OBSERVADOS</v>
      </c>
      <c r="BN7" s="176" t="str">
        <f t="shared" si="17"/>
        <v>OBSERVADOS</v>
      </c>
      <c r="BO7" s="176" t="str">
        <f t="shared" si="18"/>
        <v>OBSERVADOS</v>
      </c>
      <c r="BP7" s="176" t="str">
        <f t="shared" si="19"/>
        <v>OBSERVADOS</v>
      </c>
      <c r="BQ7" s="176" t="str">
        <f t="shared" si="20"/>
        <v>OBSERVADOS</v>
      </c>
      <c r="BR7" s="176" t="str">
        <f t="shared" si="21"/>
        <v>OBSERVADOS</v>
      </c>
      <c r="BS7" s="162" t="str">
        <f>OFFSET(ASISTENCIA!$E$1,MATCH($G7,ASISTENCIA!$E:$E,0)-1,MATCH(BS$1,ASISTENCIA!$3:$3,0)-5,1,1)</f>
        <v>El trabajo no es del libro, ni un libro cristiano, ni una apreciación de clase.</v>
      </c>
      <c r="BT7" s="177" t="str">
        <f>OFFSET(ASISTENCIA!$E$1,MATCH($G7,ASISTENCIA!$E:$E,0)-1,MATCH(BT$1,ASISTENCIA!$3:$3,0)-5,1,1)</f>
        <v>Miriam</v>
      </c>
      <c r="BU7" s="178" t="str">
        <f>OFFSET(ASISTENCIA!$E$1,MATCH($G7,ASISTENCIA!$E:$E,0)-1,MATCH(BU$1,ASISTENCIA!$3:$3,0)-5,1,1)</f>
        <v>976312280</v>
      </c>
      <c r="BV7" s="178" t="str">
        <f>OFFSET(ASISTENCIA!$E$1,MATCH($G7,ASISTENCIA!$E:$E,0)-1,MATCH(BV$1,ASISTENCIA!$3:$3,0)-5,1,1)</f>
        <v/>
      </c>
      <c r="BW7" s="165"/>
      <c r="BX7" s="179">
        <f>IFERROR(__xludf.DUMMYFUNCTION("""COMPUTED_VALUE"""),8.333333333333334)</f>
        <v>8.333333333</v>
      </c>
      <c r="BY7" s="201" t="str">
        <f>IFERROR(__xludf.DUMMYFUNCTION("""COMPUTED_VALUE"""),"REGULARES")</f>
        <v>REGULARES</v>
      </c>
    </row>
    <row r="8" ht="18.0" customHeight="1">
      <c r="A8" s="123">
        <f t="shared" si="22"/>
        <v>5</v>
      </c>
      <c r="B8" s="127" t="str">
        <f>IFERROR(__xludf.DUMMYFUNCTION("""COMPUTED_VALUE"""),"ANTIOQUIANOS")</f>
        <v>ANTIOQUIANOS</v>
      </c>
      <c r="C8" s="128" t="str">
        <f>IFERROR(__xludf.DUMMYFUNCTION("""COMPUTED_VALUE"""),"AUDI ESTELA SAHUANAY HUISACAYNA")</f>
        <v>AUDI ESTELA SAHUANAY HUISACAYNA</v>
      </c>
      <c r="D8" s="128" t="str">
        <f>IFERROR(__xludf.DUMMYFUNCTION("""COMPUTED_VALUE"""),"ESC.LID-0233")</f>
        <v>ESC.LID-0233</v>
      </c>
      <c r="E8" s="127" t="str">
        <f>IFERROR(__xludf.DUMMYFUNCTION("""COMPUTED_VALUE"""),"C1133")</f>
        <v>C1133</v>
      </c>
      <c r="F8" s="127" t="str">
        <f>IFERROR(__xludf.DUMMYFUNCTION("""COMPUTED_VALUE"""),"ECHEVARRIA LINARES, EDISON EDWARD’S")</f>
        <v>ECHEVARRIA LINARES, EDISON EDWARD’S</v>
      </c>
      <c r="G8" s="128" t="str">
        <f>IFERROR(__xludf.DUMMYFUNCTION("""COMPUTED_VALUE"""),"73683815")</f>
        <v>73683815</v>
      </c>
      <c r="H8" s="128" t="str">
        <f>IFERROR(__xludf.DUMMYFUNCTION("""COMPUTED_VALUE"""),"907512087")</f>
        <v>907512087</v>
      </c>
      <c r="I8" s="129"/>
      <c r="J8" s="129">
        <f>DEVO!F9</f>
        <v>34217</v>
      </c>
      <c r="K8" s="129">
        <f t="shared" si="1"/>
        <v>34217</v>
      </c>
      <c r="L8" s="131">
        <f>IF(TODAY()&gt;=$O$1-6,SUM(OFFSET(ASISTENCIA!$E$1,MATCH($G8,ASISTENCIA!$E:$E,0)-1,MATCH(L$1,ASISTENCIA!$3:$3,0)-5,1,1)),"")</f>
        <v>1</v>
      </c>
      <c r="M8" s="131" t="str">
        <f>OFFSET(ASISTENCIA!$E$1,MATCH($G8,ASISTENCIA!$E:$E,0)-1,MATCH(M$1,ASISTENCIA!$3:$3,0)-5,1,1)</f>
        <v/>
      </c>
      <c r="N8" s="131" t="str">
        <f>OFFSET(ASISTENCIA!$E$1,MATCH($G8,ASISTENCIA!$E:$E,0)-1,MATCH(N$1,ASISTENCIA!$3:$3,0)-5,1,1)</f>
        <v/>
      </c>
      <c r="O8" s="136">
        <f>IF(TODAY()&gt;=$O$1-6,SUM(OFFSET(DEVO!$F$1,MATCH($G8,DEVO!$E:$E,0)-1,MATCH(L$1,DEVO!$1:$1,0)-6,1,7)),"")</f>
        <v>4</v>
      </c>
      <c r="P8" s="131">
        <f>IF(TODAY()&gt;=$S$1-6,SUM(OFFSET(ASISTENCIA!$E$1,MATCH($G8,ASISTENCIA!$E:$E,0)-1,MATCH(P$1,ASISTENCIA!$3:$3,0)-5,1,1)),"")</f>
        <v>1</v>
      </c>
      <c r="Q8" s="131" t="str">
        <f>OFFSET(ASISTENCIA!$E$1,MATCH($G8,ASISTENCIA!$E:$E,0)-1,MATCH(Q$1,ASISTENCIA!$3:$3,0)-5,1,1)</f>
        <v/>
      </c>
      <c r="R8" s="131">
        <f>OFFSET(ASISTENCIA!$E$1,MATCH($G8,ASISTENCIA!$E:$E,0)-1,MATCH(R$1,ASISTENCIA!$3:$3,0)-5,1,1)</f>
        <v>1</v>
      </c>
      <c r="S8" s="136">
        <f>IF(TODAY()&gt;=$S$1-6,SUM(OFFSET(DEVO!$F$1,MATCH($G8,DEVO!$E:$E,0)-1,MATCH(P$1,DEVO!$1:$1,0)-6,1,7)),"")</f>
        <v>7</v>
      </c>
      <c r="T8" s="131">
        <f>IF(TODAY()&gt;=$W$1-6,SUM(OFFSET(ASISTENCIA!$E$1,MATCH($G8,ASISTENCIA!$E:$E,0)-1,MATCH(T$1,ASISTENCIA!$3:$3,0)-5,1,1)),"")</f>
        <v>0</v>
      </c>
      <c r="U8" s="131" t="str">
        <f>OFFSET(ASISTENCIA!$E$1,MATCH($G8,ASISTENCIA!$E:$E,0)-1,MATCH(U$1,ASISTENCIA!$3:$3,0)-5,1,1)</f>
        <v/>
      </c>
      <c r="V8" s="131" t="str">
        <f>OFFSET(ASISTENCIA!$E$1,MATCH($G8,ASISTENCIA!$E:$E,0)-1,MATCH(V$1,ASISTENCIA!$3:$3,0)-5,1,1)</f>
        <v/>
      </c>
      <c r="W8" s="136">
        <f>IF(TODAY()&gt;=$W$1-6,SUM(OFFSET(DEVO!$F$1,MATCH($G8,DEVO!$E:$E,0)-1,MATCH(T$1,DEVO!$1:$1,0)-6,1,7)),"")</f>
        <v>7</v>
      </c>
      <c r="X8" s="131">
        <f>IF(TODAY()&gt;=$AA$1-6,SUM(OFFSET(ASISTENCIA!$E$1,MATCH($G8,ASISTENCIA!$E:$E,0)-1,MATCH(X$1,ASISTENCIA!$3:$3,0)-5,1,1)),"")</f>
        <v>1</v>
      </c>
      <c r="Y8" s="131" t="str">
        <f>OFFSET(ASISTENCIA!$E$1,MATCH($G8,ASISTENCIA!$E:$E,0)-1,MATCH(Y$1,ASISTENCIA!$3:$3,0)-5,1,1)</f>
        <v/>
      </c>
      <c r="Z8" s="131" t="str">
        <f>OFFSET(ASISTENCIA!$E$1,MATCH($G8,ASISTENCIA!$E:$E,0)-1,MATCH(Z$1,ASISTENCIA!$3:$3,0)-5,1,1)</f>
        <v/>
      </c>
      <c r="AA8" s="136">
        <f>IF(TODAY()&gt;=$AA$1-6,SUM(OFFSET(DEVO!$F$1,MATCH($G8,DEVO!$E:$E,0)-1,MATCH(X$1,DEVO!$1:$1,0)-6,1,7)),"")</f>
        <v>7</v>
      </c>
      <c r="AB8" s="131">
        <f>IF(TODAY()&gt;=$AE$1-6,SUM(OFFSET(ASISTENCIA!$E$1,MATCH($G8,ASISTENCIA!$E:$E,0)-1,MATCH(AB$1,ASISTENCIA!$3:$3,0)-5,1,1)),"")</f>
        <v>2</v>
      </c>
      <c r="AC8" s="131" t="str">
        <f>OFFSET(ASISTENCIA!$E$1,MATCH($G8,ASISTENCIA!$E:$E,0)-1,MATCH(AC$1,ASISTENCIA!$3:$3,0)-5,1,1)</f>
        <v/>
      </c>
      <c r="AD8" s="131" t="str">
        <f>OFFSET(ASISTENCIA!$E$1,MATCH($G8,ASISTENCIA!$E:$E,0)-1,MATCH(AD$1,ASISTENCIA!$3:$3,0)-5,1,1)</f>
        <v/>
      </c>
      <c r="AE8" s="136">
        <f>IF(TODAY()&gt;=$AE$1-6,SUM(OFFSET(DEVO!$F$1,MATCH($G8,DEVO!$E:$E,0)-1,MATCH(AB$1,DEVO!$1:$1,0)-6,1,7)),"")</f>
        <v>0</v>
      </c>
      <c r="AF8" s="131">
        <f>IF(TODAY()&gt;=$AI$1-6,SUM(OFFSET(ASISTENCIA!$E$1,MATCH($G8,ASISTENCIA!$E:$E,0)-1,MATCH(AF$1,ASISTENCIA!$3:$3,0)-5,1,1)),"")</f>
        <v>1</v>
      </c>
      <c r="AG8" s="131" t="str">
        <f>OFFSET(ASISTENCIA!$E$1,MATCH($G8,ASISTENCIA!$E:$E,0)-1,MATCH(AG$1,ASISTENCIA!$3:$3,0)-5,1,1)</f>
        <v/>
      </c>
      <c r="AH8" s="131" t="str">
        <f>OFFSET(ASISTENCIA!$E$1,MATCH($G8,ASISTENCIA!$E:$E,0)-1,MATCH(AH$1,ASISTENCIA!$3:$3,0)-5,1,1)</f>
        <v/>
      </c>
      <c r="AI8" s="136">
        <f>IF(TODAY()&gt;=$AI$1-6,SUM(OFFSET(DEVO!$F$1,MATCH($G8,DEVO!$E:$E,0)-1,MATCH(AF$1,DEVO!$1:$1,0)-6,1,7)),"")</f>
        <v>7</v>
      </c>
      <c r="AJ8" s="131">
        <f>IF(TODAY()&gt;=$AM$1-6,SUM(OFFSET(ASISTENCIA!$E$1,MATCH($G8,ASISTENCIA!$E:$E,0)-1,MATCH(AJ$1,ASISTENCIA!$3:$3,0)-5,1,1)),"")</f>
        <v>1</v>
      </c>
      <c r="AK8" s="131" t="str">
        <f>OFFSET(ASISTENCIA!$E$1,MATCH($G8,ASISTENCIA!$E:$E,0)-1,MATCH(AK$1,ASISTENCIA!$3:$3,0)-5,1,1)</f>
        <v/>
      </c>
      <c r="AL8" s="131" t="str">
        <f>OFFSET(ASISTENCIA!$E$1,MATCH($G8,ASISTENCIA!$E:$E,0)-1,MATCH(AL$1,ASISTENCIA!$3:$3,0)-5,1,1)</f>
        <v/>
      </c>
      <c r="AM8" s="136">
        <f>IF(TODAY()&gt;=$AM$1-6,SUM(OFFSET(DEVO!$F$1,MATCH($G8,DEVO!$E:$E,0)-1,MATCH(AJ$1,DEVO!$1:$1,0)-6,1,7)),"")</f>
        <v>7</v>
      </c>
      <c r="AN8" s="131">
        <f>IF(TODAY()&gt;=$AQ$1-6,SUM(OFFSET(ASISTENCIA!$E$1,MATCH($G8,ASISTENCIA!$E:$E,0)-1,MATCH(AN$1,ASISTENCIA!$3:$3,0)-5,1,1)),"")</f>
        <v>1</v>
      </c>
      <c r="AO8" s="131" t="str">
        <f>OFFSET(ASISTENCIA!$E$1,MATCH($G8,ASISTENCIA!$E:$E,0)-1,MATCH(AO$1,ASISTENCIA!$3:$3,0)-5,1,1)</f>
        <v/>
      </c>
      <c r="AP8" s="131">
        <f>OFFSET(ASISTENCIA!$E$1,MATCH($G8,ASISTENCIA!$E:$E,0)-1,MATCH(AP$1,ASISTENCIA!$3:$3,0)-5,1,1)</f>
        <v>1</v>
      </c>
      <c r="AQ8" s="136">
        <f>IF(TODAY()&gt;=$AQ$1-6,SUM(OFFSET(DEVO!$F$1,MATCH($G8,DEVO!$E:$E,0)-1,MATCH(AN$1,DEVO!$1:$1,0)-6,1,7)),"")</f>
        <v>0</v>
      </c>
      <c r="AR8" s="131">
        <f>IF(TODAY()&gt;=$AU$1-6,SUM(OFFSET(ASISTENCIA!$E$1,MATCH($G8,ASISTENCIA!$E:$E,0)-1,MATCH(AR$1,ASISTENCIA!$3:$3,0)-5,1,1)),"")</f>
        <v>2</v>
      </c>
      <c r="AS8" s="131" t="str">
        <f>OFFSET(ASISTENCIA!$E$1,MATCH($G8,ASISTENCIA!$E:$E,0)-1,MATCH(AS$1,ASISTENCIA!$3:$3,0)-5,1,1)</f>
        <v/>
      </c>
      <c r="AT8" s="131">
        <f>OFFSET(ASISTENCIA!$E$1,MATCH($G8,ASISTENCIA!$E:$E,0)-1,MATCH(AT$1,ASISTENCIA!$3:$3,0)-5,1,1)</f>
        <v>1</v>
      </c>
      <c r="AU8" s="136">
        <f>IF(TODAY()&gt;=$AU$1-6,SUM(OFFSET(DEVO!$F$1,MATCH($G8,DEVO!$E:$E,0)-1,MATCH(AR$1,DEVO!$1:$1,0)-6,1,7)),"")</f>
        <v>0</v>
      </c>
      <c r="AV8" s="131">
        <f>OFFSET(ASISTENCIA!$E$1,MATCH($G8,ASISTENCIA!$E:$E,0)-1,MATCH(AV$1,ASISTENCIA!$3:$3,0)-5,1,1)</f>
        <v>13</v>
      </c>
      <c r="AW8" s="131">
        <f>OFFSET(ASISTENCIA!$E$1,MATCH($G8,ASISTENCIA!$E:$E,0)-1,MATCH(AW$1,ASISTENCIA!$3:$3,0)-5,1,1)</f>
        <v>20</v>
      </c>
      <c r="AY8" s="173">
        <f t="shared" si="2"/>
        <v>1</v>
      </c>
      <c r="AZ8" s="174">
        <f t="shared" si="3"/>
        <v>1</v>
      </c>
      <c r="BA8" s="174">
        <f t="shared" si="4"/>
        <v>0</v>
      </c>
      <c r="BB8" s="174">
        <f t="shared" si="5"/>
        <v>1</v>
      </c>
      <c r="BC8" s="174">
        <f t="shared" si="6"/>
        <v>1</v>
      </c>
      <c r="BD8" s="174">
        <f t="shared" si="7"/>
        <v>1</v>
      </c>
      <c r="BE8" s="174">
        <f t="shared" si="8"/>
        <v>1</v>
      </c>
      <c r="BF8" s="174">
        <f t="shared" si="9"/>
        <v>1</v>
      </c>
      <c r="BG8" s="174">
        <f t="shared" si="10"/>
        <v>1</v>
      </c>
      <c r="BH8" s="152">
        <f t="shared" si="11"/>
        <v>8.888888889</v>
      </c>
      <c r="BI8" s="153" t="str">
        <f t="shared" si="12"/>
        <v>BUENO</v>
      </c>
      <c r="BJ8" s="175" t="str">
        <f t="shared" si="13"/>
        <v>REGULARES</v>
      </c>
      <c r="BK8" s="176" t="str">
        <f t="shared" si="14"/>
        <v>EXCELENTES</v>
      </c>
      <c r="BL8" s="176" t="str">
        <f t="shared" si="15"/>
        <v>EXCELENTES</v>
      </c>
      <c r="BM8" s="176" t="str">
        <f t="shared" si="16"/>
        <v>EXCELENTES</v>
      </c>
      <c r="BN8" s="176" t="str">
        <f t="shared" si="17"/>
        <v>OBSERVADOS</v>
      </c>
      <c r="BO8" s="176" t="str">
        <f t="shared" si="18"/>
        <v>EXCELENTES</v>
      </c>
      <c r="BP8" s="176" t="str">
        <f t="shared" si="19"/>
        <v>EXCELENTES</v>
      </c>
      <c r="BQ8" s="176" t="str">
        <f t="shared" si="20"/>
        <v>OBSERVADOS</v>
      </c>
      <c r="BR8" s="176" t="str">
        <f t="shared" si="21"/>
        <v>OBSERVADOS</v>
      </c>
      <c r="BS8" s="162" t="str">
        <f>OFFSET(ASISTENCIA!$E$1,MATCH($G8,ASISTENCIA!$E:$E,0)-1,MATCH(BS$1,ASISTENCIA!$3:$3,0)-5,1,1)</f>
        <v/>
      </c>
      <c r="BT8" s="177" t="str">
        <f>OFFSET(ASISTENCIA!$E$1,MATCH($G8,ASISTENCIA!$E:$E,0)-1,MATCH(BT$1,ASISTENCIA!$3:$3,0)-5,1,1)</f>
        <v>William Bonifacio </v>
      </c>
      <c r="BU8" s="178" t="str">
        <f>OFFSET(ASISTENCIA!$E$1,MATCH($G8,ASISTENCIA!$E:$E,0)-1,MATCH(BU$1,ASISTENCIA!$3:$3,0)-5,1,1)</f>
        <v>981070518</v>
      </c>
      <c r="BV8" s="178" t="str">
        <f>OFFSET(ASISTENCIA!$E$1,MATCH($G8,ASISTENCIA!$E:$E,0)-1,MATCH(BV$1,ASISTENCIA!$3:$3,0)-5,1,1)</f>
        <v/>
      </c>
      <c r="BW8" s="55"/>
      <c r="BX8" s="179">
        <f>IFERROR(__xludf.DUMMYFUNCTION("""COMPUTED_VALUE"""),8.343333333333334)</f>
        <v>8.343333333</v>
      </c>
      <c r="BY8" s="206" t="str">
        <f>IFERROR(__xludf.DUMMYFUNCTION("""COMPUTED_VALUE"""),"BUENO")</f>
        <v>BUENO</v>
      </c>
    </row>
    <row r="9" ht="18.0" customHeight="1">
      <c r="A9" s="123">
        <f t="shared" si="22"/>
        <v>6</v>
      </c>
      <c r="B9" s="127" t="str">
        <f>IFERROR(__xludf.DUMMYFUNCTION("""COMPUTED_VALUE"""),"ANTIOQUIANOS")</f>
        <v>ANTIOQUIANOS</v>
      </c>
      <c r="C9" s="128" t="str">
        <f>IFERROR(__xludf.DUMMYFUNCTION("""COMPUTED_VALUE"""),"AUDI ESTELA SAHUANAY HUISACAYNA")</f>
        <v>AUDI ESTELA SAHUANAY HUISACAYNA</v>
      </c>
      <c r="D9" s="128" t="str">
        <f>IFERROR(__xludf.DUMMYFUNCTION("""COMPUTED_VALUE"""),"ESC.LID-0244")</f>
        <v>ESC.LID-0244</v>
      </c>
      <c r="E9" s="127" t="str">
        <f>IFERROR(__xludf.DUMMYFUNCTION("""COMPUTED_VALUE"""),"C11A")</f>
        <v>C11A</v>
      </c>
      <c r="F9" s="127" t="str">
        <f>IFERROR(__xludf.DUMMYFUNCTION("""COMPUTED_VALUE"""),"LLAJA TICONA , SAINT")</f>
        <v>LLAJA TICONA , SAINT</v>
      </c>
      <c r="G9" s="128" t="str">
        <f>IFERROR(__xludf.DUMMYFUNCTION("""COMPUTED_VALUE"""),"70285329")</f>
        <v>70285329</v>
      </c>
      <c r="H9" s="128" t="str">
        <f>IFERROR(__xludf.DUMMYFUNCTION("""COMPUTED_VALUE"""),"928819618")</f>
        <v>928819618</v>
      </c>
      <c r="I9" s="129"/>
      <c r="J9" s="129">
        <f>DEVO!F10</f>
        <v>36152</v>
      </c>
      <c r="K9" s="129">
        <f t="shared" si="1"/>
        <v>36152</v>
      </c>
      <c r="L9" s="131">
        <f>IF(TODAY()&gt;=$O$1-6,SUM(OFFSET(ASISTENCIA!$E$1,MATCH($G9,ASISTENCIA!$E:$E,0)-1,MATCH(L$1,ASISTENCIA!$3:$3,0)-5,1,1)),"")</f>
        <v>1</v>
      </c>
      <c r="M9" s="131" t="str">
        <f>OFFSET(ASISTENCIA!$E$1,MATCH($G9,ASISTENCIA!$E:$E,0)-1,MATCH(M$1,ASISTENCIA!$3:$3,0)-5,1,1)</f>
        <v/>
      </c>
      <c r="N9" s="131">
        <f>OFFSET(ASISTENCIA!$E$1,MATCH($G9,ASISTENCIA!$E:$E,0)-1,MATCH(N$1,ASISTENCIA!$3:$3,0)-5,1,1)</f>
        <v>2</v>
      </c>
      <c r="O9" s="136">
        <f>IF(TODAY()&gt;=$O$1-6,SUM(OFFSET(DEVO!$F$1,MATCH($G9,DEVO!$E:$E,0)-1,MATCH(L$1,DEVO!$1:$1,0)-6,1,7)),"")</f>
        <v>6</v>
      </c>
      <c r="P9" s="131">
        <f>IF(TODAY()&gt;=$S$1-6,SUM(OFFSET(ASISTENCIA!$E$1,MATCH($G9,ASISTENCIA!$E:$E,0)-1,MATCH(P$1,ASISTENCIA!$3:$3,0)-5,1,1)),"")</f>
        <v>1</v>
      </c>
      <c r="Q9" s="131" t="str">
        <f>OFFSET(ASISTENCIA!$E$1,MATCH($G9,ASISTENCIA!$E:$E,0)-1,MATCH(Q$1,ASISTENCIA!$3:$3,0)-5,1,1)</f>
        <v/>
      </c>
      <c r="R9" s="131" t="str">
        <f>OFFSET(ASISTENCIA!$E$1,MATCH($G9,ASISTENCIA!$E:$E,0)-1,MATCH(R$1,ASISTENCIA!$3:$3,0)-5,1,1)</f>
        <v/>
      </c>
      <c r="S9" s="136">
        <f>IF(TODAY()&gt;=$S$1-6,SUM(OFFSET(DEVO!$F$1,MATCH($G9,DEVO!$E:$E,0)-1,MATCH(P$1,DEVO!$1:$1,0)-6,1,7)),"")</f>
        <v>7</v>
      </c>
      <c r="T9" s="131">
        <f>IF(TODAY()&gt;=$W$1-6,SUM(OFFSET(ASISTENCIA!$E$1,MATCH($G9,ASISTENCIA!$E:$E,0)-1,MATCH(T$1,ASISTENCIA!$3:$3,0)-5,1,1)),"")</f>
        <v>1</v>
      </c>
      <c r="U9" s="131" t="str">
        <f>OFFSET(ASISTENCIA!$E$1,MATCH($G9,ASISTENCIA!$E:$E,0)-1,MATCH(U$1,ASISTENCIA!$3:$3,0)-5,1,1)</f>
        <v/>
      </c>
      <c r="V9" s="131">
        <f>OFFSET(ASISTENCIA!$E$1,MATCH($G9,ASISTENCIA!$E:$E,0)-1,MATCH(V$1,ASISTENCIA!$3:$3,0)-5,1,1)</f>
        <v>1</v>
      </c>
      <c r="W9" s="136">
        <f>IF(TODAY()&gt;=$W$1-6,SUM(OFFSET(DEVO!$F$1,MATCH($G9,DEVO!$E:$E,0)-1,MATCH(T$1,DEVO!$1:$1,0)-6,1,7)),"")</f>
        <v>4</v>
      </c>
      <c r="X9" s="131">
        <f>IF(TODAY()&gt;=$AA$1-6,SUM(OFFSET(ASISTENCIA!$E$1,MATCH($G9,ASISTENCIA!$E:$E,0)-1,MATCH(X$1,ASISTENCIA!$3:$3,0)-5,1,1)),"")</f>
        <v>1</v>
      </c>
      <c r="Y9" s="131" t="str">
        <f>OFFSET(ASISTENCIA!$E$1,MATCH($G9,ASISTENCIA!$E:$E,0)-1,MATCH(Y$1,ASISTENCIA!$3:$3,0)-5,1,1)</f>
        <v/>
      </c>
      <c r="Z9" s="131">
        <f>OFFSET(ASISTENCIA!$E$1,MATCH($G9,ASISTENCIA!$E:$E,0)-1,MATCH(Z$1,ASISTENCIA!$3:$3,0)-5,1,1)</f>
        <v>1</v>
      </c>
      <c r="AA9" s="136">
        <f>IF(TODAY()&gt;=$AA$1-6,SUM(OFFSET(DEVO!$F$1,MATCH($G9,DEVO!$E:$E,0)-1,MATCH(X$1,DEVO!$1:$1,0)-6,1,7)),"")</f>
        <v>7</v>
      </c>
      <c r="AB9" s="131">
        <f>IF(TODAY()&gt;=$AE$1-6,SUM(OFFSET(ASISTENCIA!$E$1,MATCH($G9,ASISTENCIA!$E:$E,0)-1,MATCH(AB$1,ASISTENCIA!$3:$3,0)-5,1,1)),"")</f>
        <v>1</v>
      </c>
      <c r="AC9" s="131" t="str">
        <f>OFFSET(ASISTENCIA!$E$1,MATCH($G9,ASISTENCIA!$E:$E,0)-1,MATCH(AC$1,ASISTENCIA!$3:$3,0)-5,1,1)</f>
        <v/>
      </c>
      <c r="AD9" s="131">
        <f>OFFSET(ASISTENCIA!$E$1,MATCH($G9,ASISTENCIA!$E:$E,0)-1,MATCH(AD$1,ASISTENCIA!$3:$3,0)-5,1,1)</f>
        <v>1</v>
      </c>
      <c r="AE9" s="136">
        <f>IF(TODAY()&gt;=$AE$1-6,SUM(OFFSET(DEVO!$F$1,MATCH($G9,DEVO!$E:$E,0)-1,MATCH(AB$1,DEVO!$1:$1,0)-6,1,7)),"")</f>
        <v>2</v>
      </c>
      <c r="AF9" s="131">
        <f>IF(TODAY()&gt;=$AI$1-6,SUM(OFFSET(ASISTENCIA!$E$1,MATCH($G9,ASISTENCIA!$E:$E,0)-1,MATCH(AF$1,ASISTENCIA!$3:$3,0)-5,1,1)),"")</f>
        <v>1</v>
      </c>
      <c r="AG9" s="131" t="str">
        <f>OFFSET(ASISTENCIA!$E$1,MATCH($G9,ASISTENCIA!$E:$E,0)-1,MATCH(AG$1,ASISTENCIA!$3:$3,0)-5,1,1)</f>
        <v/>
      </c>
      <c r="AH9" s="131">
        <f>OFFSET(ASISTENCIA!$E$1,MATCH($G9,ASISTENCIA!$E:$E,0)-1,MATCH(AH$1,ASISTENCIA!$3:$3,0)-5,1,1)</f>
        <v>1</v>
      </c>
      <c r="AI9" s="136">
        <f>IF(TODAY()&gt;=$AI$1-6,SUM(OFFSET(DEVO!$F$1,MATCH($G9,DEVO!$E:$E,0)-1,MATCH(AF$1,DEVO!$1:$1,0)-6,1,7)),"")</f>
        <v>6</v>
      </c>
      <c r="AJ9" s="131">
        <f>IF(TODAY()&gt;=$AM$1-6,SUM(OFFSET(ASISTENCIA!$E$1,MATCH($G9,ASISTENCIA!$E:$E,0)-1,MATCH(AJ$1,ASISTENCIA!$3:$3,0)-5,1,1)),"")</f>
        <v>1</v>
      </c>
      <c r="AK9" s="131" t="str">
        <f>OFFSET(ASISTENCIA!$E$1,MATCH($G9,ASISTENCIA!$E:$E,0)-1,MATCH(AK$1,ASISTENCIA!$3:$3,0)-5,1,1)</f>
        <v/>
      </c>
      <c r="AL9" s="131">
        <f>OFFSET(ASISTENCIA!$E$1,MATCH($G9,ASISTENCIA!$E:$E,0)-1,MATCH(AL$1,ASISTENCIA!$3:$3,0)-5,1,1)</f>
        <v>1</v>
      </c>
      <c r="AM9" s="136">
        <f>IF(TODAY()&gt;=$AM$1-6,SUM(OFFSET(DEVO!$F$1,MATCH($G9,DEVO!$E:$E,0)-1,MATCH(AJ$1,DEVO!$1:$1,0)-6,1,7)),"")</f>
        <v>0</v>
      </c>
      <c r="AN9" s="131">
        <f>IF(TODAY()&gt;=$AQ$1-6,SUM(OFFSET(ASISTENCIA!$E$1,MATCH($G9,ASISTENCIA!$E:$E,0)-1,MATCH(AN$1,ASISTENCIA!$3:$3,0)-5,1,1)),"")</f>
        <v>1</v>
      </c>
      <c r="AO9" s="131" t="str">
        <f>OFFSET(ASISTENCIA!$E$1,MATCH($G9,ASISTENCIA!$E:$E,0)-1,MATCH(AO$1,ASISTENCIA!$3:$3,0)-5,1,1)</f>
        <v/>
      </c>
      <c r="AP9" s="131">
        <f>OFFSET(ASISTENCIA!$E$1,MATCH($G9,ASISTENCIA!$E:$E,0)-1,MATCH(AP$1,ASISTENCIA!$3:$3,0)-5,1,1)</f>
        <v>1</v>
      </c>
      <c r="AQ9" s="136">
        <f>IF(TODAY()&gt;=$AQ$1-6,SUM(OFFSET(DEVO!$F$1,MATCH($G9,DEVO!$E:$E,0)-1,MATCH(AN$1,DEVO!$1:$1,0)-6,1,7)),"")</f>
        <v>0</v>
      </c>
      <c r="AR9" s="131">
        <f>IF(TODAY()&gt;=$AU$1-6,SUM(OFFSET(ASISTENCIA!$E$1,MATCH($G9,ASISTENCIA!$E:$E,0)-1,MATCH(AR$1,ASISTENCIA!$3:$3,0)-5,1,1)),"")</f>
        <v>1</v>
      </c>
      <c r="AS9" s="131" t="str">
        <f>OFFSET(ASISTENCIA!$E$1,MATCH($G9,ASISTENCIA!$E:$E,0)-1,MATCH(AS$1,ASISTENCIA!$3:$3,0)-5,1,1)</f>
        <v/>
      </c>
      <c r="AT9" s="131">
        <f>OFFSET(ASISTENCIA!$E$1,MATCH($G9,ASISTENCIA!$E:$E,0)-1,MATCH(AT$1,ASISTENCIA!$3:$3,0)-5,1,1)</f>
        <v>1</v>
      </c>
      <c r="AU9" s="136">
        <f>IF(TODAY()&gt;=$AU$1-6,SUM(OFFSET(DEVO!$F$1,MATCH($G9,DEVO!$E:$E,0)-1,MATCH(AR$1,DEVO!$1:$1,0)-6,1,7)),"")</f>
        <v>0</v>
      </c>
      <c r="AV9" s="131">
        <f>OFFSET(ASISTENCIA!$E$1,MATCH($G9,ASISTENCIA!$E:$E,0)-1,MATCH(AV$1,ASISTENCIA!$3:$3,0)-5,1,1)</f>
        <v>8</v>
      </c>
      <c r="AW9" s="131">
        <f>OFFSET(ASISTENCIA!$E$1,MATCH($G9,ASISTENCIA!$E:$E,0)-1,MATCH(AW$1,ASISTENCIA!$3:$3,0)-5,1,1)</f>
        <v>20</v>
      </c>
      <c r="AY9" s="173">
        <f t="shared" si="2"/>
        <v>1</v>
      </c>
      <c r="AZ9" s="174">
        <f t="shared" si="3"/>
        <v>1</v>
      </c>
      <c r="BA9" s="174">
        <f t="shared" si="4"/>
        <v>1</v>
      </c>
      <c r="BB9" s="174">
        <f t="shared" si="5"/>
        <v>1</v>
      </c>
      <c r="BC9" s="174">
        <f t="shared" si="6"/>
        <v>1</v>
      </c>
      <c r="BD9" s="174">
        <f t="shared" si="7"/>
        <v>1</v>
      </c>
      <c r="BE9" s="174">
        <f t="shared" si="8"/>
        <v>1</v>
      </c>
      <c r="BF9" s="174">
        <f t="shared" si="9"/>
        <v>1</v>
      </c>
      <c r="BG9" s="174">
        <f t="shared" si="10"/>
        <v>1</v>
      </c>
      <c r="BH9" s="152">
        <f t="shared" si="11"/>
        <v>10</v>
      </c>
      <c r="BI9" s="153" t="str">
        <f t="shared" si="12"/>
        <v>EXCELENTES</v>
      </c>
      <c r="BJ9" s="175" t="str">
        <f t="shared" si="13"/>
        <v>BUENO</v>
      </c>
      <c r="BK9" s="176" t="str">
        <f t="shared" si="14"/>
        <v>EXCELENTES</v>
      </c>
      <c r="BL9" s="176" t="str">
        <f t="shared" si="15"/>
        <v>REGULARES</v>
      </c>
      <c r="BM9" s="176" t="str">
        <f t="shared" si="16"/>
        <v>EXCELENTES</v>
      </c>
      <c r="BN9" s="176" t="str">
        <f t="shared" si="17"/>
        <v>OBSERVADOS</v>
      </c>
      <c r="BO9" s="176" t="str">
        <f t="shared" si="18"/>
        <v>BUENO</v>
      </c>
      <c r="BP9" s="176" t="str">
        <f t="shared" si="19"/>
        <v>OBSERVADOS</v>
      </c>
      <c r="BQ9" s="176" t="str">
        <f t="shared" si="20"/>
        <v>OBSERVADOS</v>
      </c>
      <c r="BR9" s="176" t="str">
        <f t="shared" si="21"/>
        <v>OBSERVADOS</v>
      </c>
      <c r="BS9" s="162" t="str">
        <f>OFFSET(ASISTENCIA!$E$1,MATCH($G9,ASISTENCIA!$E:$E,0)-1,MATCH(BS$1,ASISTENCIA!$3:$3,0)-5,1,1)</f>
        <v>Presentó un .txt hecho con IA</v>
      </c>
      <c r="BT9" s="177" t="str">
        <f>OFFSET(ASISTENCIA!$E$1,MATCH($G9,ASISTENCIA!$E:$E,0)-1,MATCH(BT$1,ASISTENCIA!$3:$3,0)-5,1,1)</f>
        <v>Jhon</v>
      </c>
      <c r="BU9" s="178" t="str">
        <f>OFFSET(ASISTENCIA!$E$1,MATCH($G9,ASISTENCIA!$E:$E,0)-1,MATCH(BU$1,ASISTENCIA!$3:$3,0)-5,1,1)</f>
        <v>969312062</v>
      </c>
      <c r="BV9" s="178" t="str">
        <f>OFFSET(ASISTENCIA!$E$1,MATCH($G9,ASISTENCIA!$E:$E,0)-1,MATCH(BV$1,ASISTENCIA!$3:$3,0)-5,1,1)</f>
        <v/>
      </c>
      <c r="BW9" s="55"/>
      <c r="BX9" s="179">
        <f>IFERROR(__xludf.DUMMYFUNCTION("""COMPUTED_VALUE"""),9.444444444444445)</f>
        <v>9.444444444</v>
      </c>
      <c r="BY9" s="206" t="str">
        <f>IFERROR(__xludf.DUMMYFUNCTION("""COMPUTED_VALUE"""),"BUENO")</f>
        <v>BUENO</v>
      </c>
    </row>
    <row r="10" ht="19.5" customHeight="1">
      <c r="A10" s="123">
        <f t="shared" si="22"/>
        <v>7</v>
      </c>
      <c r="B10" s="127" t="str">
        <f>IFERROR(__xludf.DUMMYFUNCTION("""COMPUTED_VALUE"""),"ANTIOQUIANOS")</f>
        <v>ANTIOQUIANOS</v>
      </c>
      <c r="C10" s="128" t="str">
        <f>IFERROR(__xludf.DUMMYFUNCTION("""COMPUTED_VALUE"""),"AUDI ESTELA SAHUANAY HUISACAYNA")</f>
        <v>AUDI ESTELA SAHUANAY HUISACAYNA</v>
      </c>
      <c r="D10" s="128" t="str">
        <f>IFERROR(__xludf.DUMMYFUNCTION("""COMPUTED_VALUE"""),"ESC.LID-0245")</f>
        <v>ESC.LID-0245</v>
      </c>
      <c r="E10" s="128" t="str">
        <f>IFERROR(__xludf.DUMMYFUNCTION("""COMPUTED_VALUE"""),"C2132")</f>
        <v>C2132</v>
      </c>
      <c r="F10" s="127" t="str">
        <f>IFERROR(__xludf.DUMMYFUNCTION("""COMPUTED_VALUE"""),"LUCAS MELGAREJO, NELY")</f>
        <v>LUCAS MELGAREJO, NELY</v>
      </c>
      <c r="G10" s="128" t="str">
        <f>IFERROR(__xludf.DUMMYFUNCTION("""COMPUTED_VALUE"""),"47715838")</f>
        <v>47715838</v>
      </c>
      <c r="H10" s="128" t="str">
        <f>IFERROR(__xludf.DUMMYFUNCTION("""COMPUTED_VALUE"""),"920611254")</f>
        <v>920611254</v>
      </c>
      <c r="I10" s="129"/>
      <c r="J10" s="129">
        <f>DEVO!F11</f>
        <v>32030</v>
      </c>
      <c r="K10" s="129">
        <f t="shared" si="1"/>
        <v>32030</v>
      </c>
      <c r="L10" s="131">
        <f>IF(TODAY()&gt;=$O$1-6,SUM(OFFSET(ASISTENCIA!$E$1,MATCH($G10,ASISTENCIA!$E:$E,0)-1,MATCH(L$1,ASISTENCIA!$3:$3,0)-5,1,1)),"")</f>
        <v>1</v>
      </c>
      <c r="M10" s="131" t="str">
        <f>OFFSET(ASISTENCIA!$E$1,MATCH($G10,ASISTENCIA!$E:$E,0)-1,MATCH(M$1,ASISTENCIA!$3:$3,0)-5,1,1)</f>
        <v/>
      </c>
      <c r="N10" s="131" t="str">
        <f>OFFSET(ASISTENCIA!$E$1,MATCH($G10,ASISTENCIA!$E:$E,0)-1,MATCH(N$1,ASISTENCIA!$3:$3,0)-5,1,1)</f>
        <v/>
      </c>
      <c r="O10" s="136">
        <f>IF(TODAY()&gt;=$O$1-6,SUM(OFFSET(DEVO!$F$1,MATCH($G10,DEVO!$E:$E,0)-1,MATCH(L$1,DEVO!$1:$1,0)-6,1,7)),"")</f>
        <v>5</v>
      </c>
      <c r="P10" s="131">
        <f>IF(TODAY()&gt;=$S$1-6,SUM(OFFSET(ASISTENCIA!$E$1,MATCH($G10,ASISTENCIA!$E:$E,0)-1,MATCH(P$1,ASISTENCIA!$3:$3,0)-5,1,1)),"")</f>
        <v>4</v>
      </c>
      <c r="Q10" s="131">
        <f>OFFSET(ASISTENCIA!$E$1,MATCH($G10,ASISTENCIA!$E:$E,0)-1,MATCH(Q$1,ASISTENCIA!$3:$3,0)-5,1,1)</f>
        <v>2</v>
      </c>
      <c r="R10" s="131">
        <f>OFFSET(ASISTENCIA!$E$1,MATCH($G10,ASISTENCIA!$E:$E,0)-1,MATCH(R$1,ASISTENCIA!$3:$3,0)-5,1,1)</f>
        <v>1</v>
      </c>
      <c r="S10" s="136">
        <f>IF(TODAY()&gt;=$S$1-6,SUM(OFFSET(DEVO!$F$1,MATCH($G10,DEVO!$E:$E,0)-1,MATCH(P$1,DEVO!$1:$1,0)-6,1,7)),"")</f>
        <v>7</v>
      </c>
      <c r="T10" s="131">
        <f>IF(TODAY()&gt;=$W$1-6,SUM(OFFSET(ASISTENCIA!$E$1,MATCH($G10,ASISTENCIA!$E:$E,0)-1,MATCH(T$1,ASISTENCIA!$3:$3,0)-5,1,1)),"")</f>
        <v>4</v>
      </c>
      <c r="U10" s="131" t="str">
        <f>OFFSET(ASISTENCIA!$E$1,MATCH($G10,ASISTENCIA!$E:$E,0)-1,MATCH(U$1,ASISTENCIA!$3:$3,0)-5,1,1)</f>
        <v/>
      </c>
      <c r="V10" s="131">
        <f>OFFSET(ASISTENCIA!$E$1,MATCH($G10,ASISTENCIA!$E:$E,0)-1,MATCH(V$1,ASISTENCIA!$3:$3,0)-5,1,1)</f>
        <v>2</v>
      </c>
      <c r="W10" s="136">
        <f>IF(TODAY()&gt;=$W$1-6,SUM(OFFSET(DEVO!$F$1,MATCH($G10,DEVO!$E:$E,0)-1,MATCH(T$1,DEVO!$1:$1,0)-6,1,7)),"")</f>
        <v>3</v>
      </c>
      <c r="X10" s="131">
        <f>IF(TODAY()&gt;=$AA$1-6,SUM(OFFSET(ASISTENCIA!$E$1,MATCH($G10,ASISTENCIA!$E:$E,0)-1,MATCH(X$1,ASISTENCIA!$3:$3,0)-5,1,1)),"")</f>
        <v>4</v>
      </c>
      <c r="Y10" s="131">
        <f>OFFSET(ASISTENCIA!$E$1,MATCH($G10,ASISTENCIA!$E:$E,0)-1,MATCH(Y$1,ASISTENCIA!$3:$3,0)-5,1,1)</f>
        <v>5</v>
      </c>
      <c r="Z10" s="131">
        <f>OFFSET(ASISTENCIA!$E$1,MATCH($G10,ASISTENCIA!$E:$E,0)-1,MATCH(Z$1,ASISTENCIA!$3:$3,0)-5,1,1)</f>
        <v>1</v>
      </c>
      <c r="AA10" s="136">
        <f>IF(TODAY()&gt;=$AA$1-6,SUM(OFFSET(DEVO!$F$1,MATCH($G10,DEVO!$E:$E,0)-1,MATCH(X$1,DEVO!$1:$1,0)-6,1,7)),"")</f>
        <v>0</v>
      </c>
      <c r="AB10" s="131">
        <f>IF(TODAY()&gt;=$AE$1-6,SUM(OFFSET(ASISTENCIA!$E$1,MATCH($G10,ASISTENCIA!$E:$E,0)-1,MATCH(AB$1,ASISTENCIA!$3:$3,0)-5,1,1)),"")</f>
        <v>1</v>
      </c>
      <c r="AC10" s="131" t="str">
        <f>OFFSET(ASISTENCIA!$E$1,MATCH($G10,ASISTENCIA!$E:$E,0)-1,MATCH(AC$1,ASISTENCIA!$3:$3,0)-5,1,1)</f>
        <v/>
      </c>
      <c r="AD10" s="131">
        <f>OFFSET(ASISTENCIA!$E$1,MATCH($G10,ASISTENCIA!$E:$E,0)-1,MATCH(AD$1,ASISTENCIA!$3:$3,0)-5,1,1)</f>
        <v>1</v>
      </c>
      <c r="AE10" s="136">
        <f>IF(TODAY()&gt;=$AE$1-6,SUM(OFFSET(DEVO!$F$1,MATCH($G10,DEVO!$E:$E,0)-1,MATCH(AB$1,DEVO!$1:$1,0)-6,1,7)),"")</f>
        <v>0</v>
      </c>
      <c r="AF10" s="131">
        <f>IF(TODAY()&gt;=$AI$1-6,SUM(OFFSET(ASISTENCIA!$E$1,MATCH($G10,ASISTENCIA!$E:$E,0)-1,MATCH(AF$1,ASISTENCIA!$3:$3,0)-5,1,1)),"")</f>
        <v>1</v>
      </c>
      <c r="AG10" s="131" t="str">
        <f>OFFSET(ASISTENCIA!$E$1,MATCH($G10,ASISTENCIA!$E:$E,0)-1,MATCH(AG$1,ASISTENCIA!$3:$3,0)-5,1,1)</f>
        <v/>
      </c>
      <c r="AH10" s="131">
        <f>OFFSET(ASISTENCIA!$E$1,MATCH($G10,ASISTENCIA!$E:$E,0)-1,MATCH(AH$1,ASISTENCIA!$3:$3,0)-5,1,1)</f>
        <v>1</v>
      </c>
      <c r="AI10" s="136">
        <f>IF(TODAY()&gt;=$AI$1-6,SUM(OFFSET(DEVO!$F$1,MATCH($G10,DEVO!$E:$E,0)-1,MATCH(AF$1,DEVO!$1:$1,0)-6,1,7)),"")</f>
        <v>0</v>
      </c>
      <c r="AJ10" s="131">
        <f>IF(TODAY()&gt;=$AM$1-6,SUM(OFFSET(ASISTENCIA!$E$1,MATCH($G10,ASISTENCIA!$E:$E,0)-1,MATCH(AJ$1,ASISTENCIA!$3:$3,0)-5,1,1)),"")</f>
        <v>1</v>
      </c>
      <c r="AK10" s="131" t="str">
        <f>OFFSET(ASISTENCIA!$E$1,MATCH($G10,ASISTENCIA!$E:$E,0)-1,MATCH(AK$1,ASISTENCIA!$3:$3,0)-5,1,1)</f>
        <v/>
      </c>
      <c r="AL10" s="131">
        <f>OFFSET(ASISTENCIA!$E$1,MATCH($G10,ASISTENCIA!$E:$E,0)-1,MATCH(AL$1,ASISTENCIA!$3:$3,0)-5,1,1)</f>
        <v>1</v>
      </c>
      <c r="AM10" s="136">
        <f>IF(TODAY()&gt;=$AM$1-6,SUM(OFFSET(DEVO!$F$1,MATCH($G10,DEVO!$E:$E,0)-1,MATCH(AJ$1,DEVO!$1:$1,0)-6,1,7)),"")</f>
        <v>0</v>
      </c>
      <c r="AN10" s="131">
        <f>IF(TODAY()&gt;=$AQ$1-6,SUM(OFFSET(ASISTENCIA!$E$1,MATCH($G10,ASISTENCIA!$E:$E,0)-1,MATCH(AN$1,ASISTENCIA!$3:$3,0)-5,1,1)),"")</f>
        <v>1</v>
      </c>
      <c r="AO10" s="131" t="str">
        <f>OFFSET(ASISTENCIA!$E$1,MATCH($G10,ASISTENCIA!$E:$E,0)-1,MATCH(AO$1,ASISTENCIA!$3:$3,0)-5,1,1)</f>
        <v/>
      </c>
      <c r="AP10" s="131" t="str">
        <f>OFFSET(ASISTENCIA!$E$1,MATCH($G10,ASISTENCIA!$E:$E,0)-1,MATCH(AP$1,ASISTENCIA!$3:$3,0)-5,1,1)</f>
        <v/>
      </c>
      <c r="AQ10" s="136">
        <f>IF(TODAY()&gt;=$AQ$1-6,SUM(OFFSET(DEVO!$F$1,MATCH($G10,DEVO!$E:$E,0)-1,MATCH(AN$1,DEVO!$1:$1,0)-6,1,7)),"")</f>
        <v>0</v>
      </c>
      <c r="AR10" s="131">
        <f>IF(TODAY()&gt;=$AU$1-6,SUM(OFFSET(ASISTENCIA!$E$1,MATCH($G10,ASISTENCIA!$E:$E,0)-1,MATCH(AR$1,ASISTENCIA!$3:$3,0)-5,1,1)),"")</f>
        <v>1</v>
      </c>
      <c r="AS10" s="131" t="str">
        <f>OFFSET(ASISTENCIA!$E$1,MATCH($G10,ASISTENCIA!$E:$E,0)-1,MATCH(AS$1,ASISTENCIA!$3:$3,0)-5,1,1)</f>
        <v/>
      </c>
      <c r="AT10" s="131" t="str">
        <f>OFFSET(ASISTENCIA!$E$1,MATCH($G10,ASISTENCIA!$E:$E,0)-1,MATCH(AT$1,ASISTENCIA!$3:$3,0)-5,1,1)</f>
        <v/>
      </c>
      <c r="AU10" s="136">
        <f>IF(TODAY()&gt;=$AU$1-6,SUM(OFFSET(DEVO!$F$1,MATCH($G10,DEVO!$E:$E,0)-1,MATCH(AR$1,DEVO!$1:$1,0)-6,1,7)),"")</f>
        <v>0</v>
      </c>
      <c r="AV10" s="131">
        <f>OFFSET(ASISTENCIA!$E$1,MATCH($G10,ASISTENCIA!$E:$E,0)-1,MATCH(AV$1,ASISTENCIA!$3:$3,0)-5,1,1)</f>
        <v>12</v>
      </c>
      <c r="AW10" s="131" t="str">
        <f>OFFSET(ASISTENCIA!$E$1,MATCH($G10,ASISTENCIA!$E:$E,0)-1,MATCH(AW$1,ASISTENCIA!$3:$3,0)-5,1,1)</f>
        <v/>
      </c>
      <c r="AY10" s="173">
        <f t="shared" si="2"/>
        <v>1</v>
      </c>
      <c r="AZ10" s="174">
        <f t="shared" si="3"/>
        <v>1</v>
      </c>
      <c r="BA10" s="174">
        <f t="shared" si="4"/>
        <v>1</v>
      </c>
      <c r="BB10" s="174">
        <f t="shared" si="5"/>
        <v>1</v>
      </c>
      <c r="BC10" s="174">
        <f t="shared" si="6"/>
        <v>1</v>
      </c>
      <c r="BD10" s="174">
        <f t="shared" si="7"/>
        <v>1</v>
      </c>
      <c r="BE10" s="174">
        <f t="shared" si="8"/>
        <v>1</v>
      </c>
      <c r="BF10" s="174">
        <f t="shared" si="9"/>
        <v>1</v>
      </c>
      <c r="BG10" s="174">
        <f t="shared" si="10"/>
        <v>1</v>
      </c>
      <c r="BH10" s="152">
        <f t="shared" si="11"/>
        <v>10</v>
      </c>
      <c r="BI10" s="153" t="str">
        <f t="shared" si="12"/>
        <v>EXCELENTES</v>
      </c>
      <c r="BJ10" s="175" t="str">
        <f t="shared" si="13"/>
        <v>BUENO</v>
      </c>
      <c r="BK10" s="176" t="str">
        <f t="shared" si="14"/>
        <v>EXCELENTES</v>
      </c>
      <c r="BL10" s="176" t="str">
        <f t="shared" si="15"/>
        <v>REGULARES</v>
      </c>
      <c r="BM10" s="176" t="str">
        <f t="shared" si="16"/>
        <v>OBSERVADOS</v>
      </c>
      <c r="BN10" s="176" t="str">
        <f t="shared" si="17"/>
        <v>OBSERVADOS</v>
      </c>
      <c r="BO10" s="176" t="str">
        <f t="shared" si="18"/>
        <v>OBSERVADOS</v>
      </c>
      <c r="BP10" s="176" t="str">
        <f t="shared" si="19"/>
        <v>OBSERVADOS</v>
      </c>
      <c r="BQ10" s="176" t="str">
        <f t="shared" si="20"/>
        <v>OBSERVADOS</v>
      </c>
      <c r="BR10" s="176" t="str">
        <f t="shared" si="21"/>
        <v>OBSERVADOS</v>
      </c>
      <c r="BS10" s="207" t="str">
        <f>OFFSET(ASISTENCIA!$E$1,MATCH($G10,ASISTENCIA!$E:$E,0)-1,MATCH(BS$1,ASISTENCIA!$3:$3,0)-5,1,1)</f>
        <v/>
      </c>
      <c r="BT10" s="208" t="str">
        <f>OFFSET(ASISTENCIA!$E$1,MATCH($G10,ASISTENCIA!$E:$E,0)-1,MATCH(BT$1,ASISTENCIA!$3:$3,0)-5,1,1)</f>
        <v>Lucy Guerrero </v>
      </c>
      <c r="BU10" s="209" t="str">
        <f>OFFSET(ASISTENCIA!$E$1,MATCH($G10,ASISTENCIA!$E:$E,0)-1,MATCH(BU$1,ASISTENCIA!$3:$3,0)-5,1,1)</f>
        <v>975537169</v>
      </c>
      <c r="BV10" s="209" t="str">
        <f>OFFSET(ASISTENCIA!$E$1,MATCH($G10,ASISTENCIA!$E:$E,0)-1,MATCH(BV$1,ASISTENCIA!$3:$3,0)-5,1,1)</f>
        <v/>
      </c>
      <c r="BW10" s="55"/>
      <c r="BX10" s="179">
        <f>IFERROR(__xludf.DUMMYFUNCTION("""COMPUTED_VALUE"""),9.454444444444444)</f>
        <v>9.454444444</v>
      </c>
      <c r="BY10" s="210" t="str">
        <f>IFERROR(__xludf.DUMMYFUNCTION("""COMPUTED_VALUE"""),"EXCELENTES")</f>
        <v>EXCELENTES</v>
      </c>
    </row>
    <row r="11" ht="19.5" customHeight="1">
      <c r="A11" s="123">
        <f t="shared" si="22"/>
        <v>8</v>
      </c>
      <c r="B11" s="127" t="str">
        <f>IFERROR(__xludf.DUMMYFUNCTION("""COMPUTED_VALUE"""),"ANTIOQUIANOS")</f>
        <v>ANTIOQUIANOS</v>
      </c>
      <c r="C11" s="128" t="str">
        <f>IFERROR(__xludf.DUMMYFUNCTION("""COMPUTED_VALUE"""),"AUDI ESTELA SAHUANAY HUISACAYNA")</f>
        <v>AUDI ESTELA SAHUANAY HUISACAYNA</v>
      </c>
      <c r="D11" s="128" t="str">
        <f>IFERROR(__xludf.DUMMYFUNCTION("""COMPUTED_VALUE"""),"ESC.LID-0247")</f>
        <v>ESC.LID-0247</v>
      </c>
      <c r="E11" s="127" t="str">
        <f>IFERROR(__xludf.DUMMYFUNCTION("""COMPUTED_VALUE"""),"C2133")</f>
        <v>C2133</v>
      </c>
      <c r="F11" s="127" t="str">
        <f>IFERROR(__xludf.DUMMYFUNCTION("""COMPUTED_VALUE"""),"MARTELL BARRIOS, ZORAIDA")</f>
        <v>MARTELL BARRIOS, ZORAIDA</v>
      </c>
      <c r="G11" s="128" t="str">
        <f>IFERROR(__xludf.DUMMYFUNCTION("""COMPUTED_VALUE"""),"47773475")</f>
        <v>47773475</v>
      </c>
      <c r="H11" s="128" t="str">
        <f>IFERROR(__xludf.DUMMYFUNCTION("""COMPUTED_VALUE"""),"949580997")</f>
        <v>949580997</v>
      </c>
      <c r="I11" s="129"/>
      <c r="J11" s="129">
        <f>DEVO!F12</f>
        <v>34099</v>
      </c>
      <c r="K11" s="129">
        <f t="shared" si="1"/>
        <v>34099</v>
      </c>
      <c r="L11" s="131">
        <f>IF(TODAY()&gt;=$O$1-6,SUM(OFFSET(ASISTENCIA!$E$1,MATCH($G11,ASISTENCIA!$E:$E,0)-1,MATCH(L$1,ASISTENCIA!$3:$3,0)-5,1,1)),"")</f>
        <v>4</v>
      </c>
      <c r="M11" s="131" t="str">
        <f>OFFSET(ASISTENCIA!$E$1,MATCH($G11,ASISTENCIA!$E:$E,0)-1,MATCH(M$1,ASISTENCIA!$3:$3,0)-5,1,1)</f>
        <v/>
      </c>
      <c r="N11" s="131">
        <f>OFFSET(ASISTENCIA!$E$1,MATCH($G11,ASISTENCIA!$E:$E,0)-1,MATCH(N$1,ASISTENCIA!$3:$3,0)-5,1,1)</f>
        <v>2</v>
      </c>
      <c r="O11" s="136">
        <f>IF(TODAY()&gt;=$O$1-6,SUM(OFFSET(DEVO!$F$1,MATCH($G11,DEVO!$E:$E,0)-1,MATCH(L$1,DEVO!$1:$1,0)-6,1,7)),"")</f>
        <v>7</v>
      </c>
      <c r="P11" s="131">
        <f>IF(TODAY()&gt;=$S$1-6,SUM(OFFSET(ASISTENCIA!$E$1,MATCH($G11,ASISTENCIA!$E:$E,0)-1,MATCH(P$1,ASISTENCIA!$3:$3,0)-5,1,1)),"")</f>
        <v>4</v>
      </c>
      <c r="Q11" s="131" t="str">
        <f>OFFSET(ASISTENCIA!$E$1,MATCH($G11,ASISTENCIA!$E:$E,0)-1,MATCH(Q$1,ASISTENCIA!$3:$3,0)-5,1,1)</f>
        <v/>
      </c>
      <c r="R11" s="131">
        <f>OFFSET(ASISTENCIA!$E$1,MATCH($G11,ASISTENCIA!$E:$E,0)-1,MATCH(R$1,ASISTENCIA!$3:$3,0)-5,1,1)</f>
        <v>1</v>
      </c>
      <c r="S11" s="136">
        <f>IF(TODAY()&gt;=$S$1-6,SUM(OFFSET(DEVO!$F$1,MATCH($G11,DEVO!$E:$E,0)-1,MATCH(P$1,DEVO!$1:$1,0)-6,1,7)),"")</f>
        <v>7</v>
      </c>
      <c r="T11" s="131">
        <f>IF(TODAY()&gt;=$W$1-6,SUM(OFFSET(ASISTENCIA!$E$1,MATCH($G11,ASISTENCIA!$E:$E,0)-1,MATCH(T$1,ASISTENCIA!$3:$3,0)-5,1,1)),"")</f>
        <v>4</v>
      </c>
      <c r="U11" s="131" t="str">
        <f>OFFSET(ASISTENCIA!$E$1,MATCH($G11,ASISTENCIA!$E:$E,0)-1,MATCH(U$1,ASISTENCIA!$3:$3,0)-5,1,1)</f>
        <v/>
      </c>
      <c r="V11" s="131">
        <f>OFFSET(ASISTENCIA!$E$1,MATCH($G11,ASISTENCIA!$E:$E,0)-1,MATCH(V$1,ASISTENCIA!$3:$3,0)-5,1,1)</f>
        <v>1</v>
      </c>
      <c r="W11" s="136">
        <f>IF(TODAY()&gt;=$W$1-6,SUM(OFFSET(DEVO!$F$1,MATCH($G11,DEVO!$E:$E,0)-1,MATCH(T$1,DEVO!$1:$1,0)-6,1,7)),"")</f>
        <v>7</v>
      </c>
      <c r="X11" s="131">
        <f>IF(TODAY()&gt;=$AA$1-6,SUM(OFFSET(ASISTENCIA!$E$1,MATCH($G11,ASISTENCIA!$E:$E,0)-1,MATCH(X$1,ASISTENCIA!$3:$3,0)-5,1,1)),"")</f>
        <v>4</v>
      </c>
      <c r="Y11" s="131" t="str">
        <f>OFFSET(ASISTENCIA!$E$1,MATCH($G11,ASISTENCIA!$E:$E,0)-1,MATCH(Y$1,ASISTENCIA!$3:$3,0)-5,1,1)</f>
        <v/>
      </c>
      <c r="Z11" s="131">
        <f>OFFSET(ASISTENCIA!$E$1,MATCH($G11,ASISTENCIA!$E:$E,0)-1,MATCH(Z$1,ASISTENCIA!$3:$3,0)-5,1,1)</f>
        <v>1</v>
      </c>
      <c r="AA11" s="136">
        <f>IF(TODAY()&gt;=$AA$1-6,SUM(OFFSET(DEVO!$F$1,MATCH($G11,DEVO!$E:$E,0)-1,MATCH(X$1,DEVO!$1:$1,0)-6,1,7)),"")</f>
        <v>7</v>
      </c>
      <c r="AB11" s="131">
        <f>IF(TODAY()&gt;=$AE$1-6,SUM(OFFSET(ASISTENCIA!$E$1,MATCH($G11,ASISTENCIA!$E:$E,0)-1,MATCH(AB$1,ASISTENCIA!$3:$3,0)-5,1,1)),"")</f>
        <v>4</v>
      </c>
      <c r="AC11" s="131" t="str">
        <f>OFFSET(ASISTENCIA!$E$1,MATCH($G11,ASISTENCIA!$E:$E,0)-1,MATCH(AC$1,ASISTENCIA!$3:$3,0)-5,1,1)</f>
        <v/>
      </c>
      <c r="AD11" s="131">
        <f>OFFSET(ASISTENCIA!$E$1,MATCH($G11,ASISTENCIA!$E:$E,0)-1,MATCH(AD$1,ASISTENCIA!$3:$3,0)-5,1,1)</f>
        <v>1</v>
      </c>
      <c r="AE11" s="136">
        <f>IF(TODAY()&gt;=$AE$1-6,SUM(OFFSET(DEVO!$F$1,MATCH($G11,DEVO!$E:$E,0)-1,MATCH(AB$1,DEVO!$1:$1,0)-6,1,7)),"")</f>
        <v>7</v>
      </c>
      <c r="AF11" s="131">
        <f>IF(TODAY()&gt;=$AI$1-6,SUM(OFFSET(ASISTENCIA!$E$1,MATCH($G11,ASISTENCIA!$E:$E,0)-1,MATCH(AF$1,ASISTENCIA!$3:$3,0)-5,1,1)),"")</f>
        <v>4</v>
      </c>
      <c r="AG11" s="131" t="str">
        <f>OFFSET(ASISTENCIA!$E$1,MATCH($G11,ASISTENCIA!$E:$E,0)-1,MATCH(AG$1,ASISTENCIA!$3:$3,0)-5,1,1)</f>
        <v/>
      </c>
      <c r="AH11" s="131">
        <f>OFFSET(ASISTENCIA!$E$1,MATCH($G11,ASISTENCIA!$E:$E,0)-1,MATCH(AH$1,ASISTENCIA!$3:$3,0)-5,1,1)</f>
        <v>1</v>
      </c>
      <c r="AI11" s="136">
        <f>IF(TODAY()&gt;=$AI$1-6,SUM(OFFSET(DEVO!$F$1,MATCH($G11,DEVO!$E:$E,0)-1,MATCH(AF$1,DEVO!$1:$1,0)-6,1,7)),"")</f>
        <v>7</v>
      </c>
      <c r="AJ11" s="131">
        <f>IF(TODAY()&gt;=$AM$1-6,SUM(OFFSET(ASISTENCIA!$E$1,MATCH($G11,ASISTENCIA!$E:$E,0)-1,MATCH(AJ$1,ASISTENCIA!$3:$3,0)-5,1,1)),"")</f>
        <v>3</v>
      </c>
      <c r="AK11" s="131" t="str">
        <f>OFFSET(ASISTENCIA!$E$1,MATCH($G11,ASISTENCIA!$E:$E,0)-1,MATCH(AK$1,ASISTENCIA!$3:$3,0)-5,1,1)</f>
        <v/>
      </c>
      <c r="AL11" s="131">
        <f>OFFSET(ASISTENCIA!$E$1,MATCH($G11,ASISTENCIA!$E:$E,0)-1,MATCH(AL$1,ASISTENCIA!$3:$3,0)-5,1,1)</f>
        <v>1</v>
      </c>
      <c r="AM11" s="136">
        <f>IF(TODAY()&gt;=$AM$1-6,SUM(OFFSET(DEVO!$F$1,MATCH($G11,DEVO!$E:$E,0)-1,MATCH(AJ$1,DEVO!$1:$1,0)-6,1,7)),"")</f>
        <v>7</v>
      </c>
      <c r="AN11" s="131">
        <f>IF(TODAY()&gt;=$AQ$1-6,SUM(OFFSET(ASISTENCIA!$E$1,MATCH($G11,ASISTENCIA!$E:$E,0)-1,MATCH(AN$1,ASISTENCIA!$3:$3,0)-5,1,1)),"")</f>
        <v>3</v>
      </c>
      <c r="AO11" s="131" t="str">
        <f>OFFSET(ASISTENCIA!$E$1,MATCH($G11,ASISTENCIA!$E:$E,0)-1,MATCH(AO$1,ASISTENCIA!$3:$3,0)-5,1,1)</f>
        <v/>
      </c>
      <c r="AP11" s="131">
        <f>OFFSET(ASISTENCIA!$E$1,MATCH($G11,ASISTENCIA!$E:$E,0)-1,MATCH(AP$1,ASISTENCIA!$3:$3,0)-5,1,1)</f>
        <v>2</v>
      </c>
      <c r="AQ11" s="136">
        <f>IF(TODAY()&gt;=$AQ$1-6,SUM(OFFSET(DEVO!$F$1,MATCH($G11,DEVO!$E:$E,0)-1,MATCH(AN$1,DEVO!$1:$1,0)-6,1,7)),"")</f>
        <v>7</v>
      </c>
      <c r="AR11" s="131">
        <f>IF(TODAY()&gt;=$AU$1-6,SUM(OFFSET(ASISTENCIA!$E$1,MATCH($G11,ASISTENCIA!$E:$E,0)-1,MATCH(AR$1,ASISTENCIA!$3:$3,0)-5,1,1)),"")</f>
        <v>4</v>
      </c>
      <c r="AS11" s="131" t="str">
        <f>OFFSET(ASISTENCIA!$E$1,MATCH($G11,ASISTENCIA!$E:$E,0)-1,MATCH(AS$1,ASISTENCIA!$3:$3,0)-5,1,1)</f>
        <v/>
      </c>
      <c r="AT11" s="131" t="str">
        <f>OFFSET(ASISTENCIA!$E$1,MATCH($G11,ASISTENCIA!$E:$E,0)-1,MATCH(AT$1,ASISTENCIA!$3:$3,0)-5,1,1)</f>
        <v/>
      </c>
      <c r="AU11" s="136">
        <f>IF(TODAY()&gt;=$AU$1-6,SUM(OFFSET(DEVO!$F$1,MATCH($G11,DEVO!$E:$E,0)-1,MATCH(AR$1,DEVO!$1:$1,0)-6,1,7)),"")</f>
        <v>4</v>
      </c>
      <c r="AV11" s="131">
        <f>OFFSET(ASISTENCIA!$E$1,MATCH($G11,ASISTENCIA!$E:$E,0)-1,MATCH(AV$1,ASISTENCIA!$3:$3,0)-5,1,1)</f>
        <v>10</v>
      </c>
      <c r="AW11" s="131">
        <f>OFFSET(ASISTENCIA!$E$1,MATCH($G11,ASISTENCIA!$E:$E,0)-1,MATCH(AW$1,ASISTENCIA!$3:$3,0)-5,1,1)</f>
        <v>20</v>
      </c>
      <c r="AY11" s="173">
        <f t="shared" si="2"/>
        <v>1</v>
      </c>
      <c r="AZ11" s="174">
        <f t="shared" si="3"/>
        <v>1</v>
      </c>
      <c r="BA11" s="174">
        <f t="shared" si="4"/>
        <v>1</v>
      </c>
      <c r="BB11" s="174">
        <f t="shared" si="5"/>
        <v>1</v>
      </c>
      <c r="BC11" s="174">
        <f t="shared" si="6"/>
        <v>1</v>
      </c>
      <c r="BD11" s="174">
        <f t="shared" si="7"/>
        <v>1</v>
      </c>
      <c r="BE11" s="174">
        <f t="shared" si="8"/>
        <v>1</v>
      </c>
      <c r="BF11" s="174">
        <f t="shared" si="9"/>
        <v>1</v>
      </c>
      <c r="BG11" s="174">
        <f t="shared" si="10"/>
        <v>1</v>
      </c>
      <c r="BH11" s="152">
        <f t="shared" si="11"/>
        <v>10</v>
      </c>
      <c r="BI11" s="153" t="str">
        <f t="shared" si="12"/>
        <v>EXCELENTES</v>
      </c>
      <c r="BJ11" s="175" t="str">
        <f t="shared" si="13"/>
        <v>EXCELENTES</v>
      </c>
      <c r="BK11" s="176" t="str">
        <f t="shared" si="14"/>
        <v>EXCELENTES</v>
      </c>
      <c r="BL11" s="176" t="str">
        <f t="shared" si="15"/>
        <v>EXCELENTES</v>
      </c>
      <c r="BM11" s="176" t="str">
        <f t="shared" si="16"/>
        <v>EXCELENTES</v>
      </c>
      <c r="BN11" s="176" t="str">
        <f t="shared" si="17"/>
        <v>EXCELENTES</v>
      </c>
      <c r="BO11" s="176" t="str">
        <f t="shared" si="18"/>
        <v>EXCELENTES</v>
      </c>
      <c r="BP11" s="176" t="str">
        <f t="shared" si="19"/>
        <v>EXCELENTES</v>
      </c>
      <c r="BQ11" s="176" t="str">
        <f t="shared" si="20"/>
        <v>EXCELENTES</v>
      </c>
      <c r="BR11" s="176" t="str">
        <f t="shared" si="21"/>
        <v>REGULARES</v>
      </c>
      <c r="BS11" s="207" t="str">
        <f>OFFSET(ASISTENCIA!$E$1,MATCH($G11,ASISTENCIA!$E:$E,0)-1,MATCH(BS$1,ASISTENCIA!$3:$3,0)-5,1,1)</f>
        <v>El trabajo está hecho con IA</v>
      </c>
      <c r="BT11" s="208" t="str">
        <f>OFFSET(ASISTENCIA!$E$1,MATCH($G11,ASISTENCIA!$E:$E,0)-1,MATCH(BT$1,ASISTENCIA!$3:$3,0)-5,1,1)</f>
        <v>Katerine Salas </v>
      </c>
      <c r="BU11" s="209" t="str">
        <f>OFFSET(ASISTENCIA!$E$1,MATCH($G11,ASISTENCIA!$E:$E,0)-1,MATCH(BU$1,ASISTENCIA!$3:$3,0)-5,1,1)</f>
        <v>950198680</v>
      </c>
      <c r="BV11" s="209" t="str">
        <f>OFFSET(ASISTENCIA!$E$1,MATCH($G11,ASISTENCIA!$E:$E,0)-1,MATCH(BV$1,ASISTENCIA!$3:$3,0)-5,1,1)</f>
        <v/>
      </c>
      <c r="BW11" s="55"/>
      <c r="BX11" s="179">
        <f>IFERROR(__xludf.DUMMYFUNCTION("""COMPUTED_VALUE"""),100.0)</f>
        <v>100</v>
      </c>
      <c r="BY11" s="210" t="str">
        <f>IFERROR(__xludf.DUMMYFUNCTION("""COMPUTED_VALUE"""),"EXCELENTES")</f>
        <v>EXCELENTES</v>
      </c>
    </row>
    <row r="12" ht="18.0" customHeight="1">
      <c r="A12" s="123">
        <f t="shared" si="22"/>
        <v>9</v>
      </c>
      <c r="B12" s="127" t="str">
        <f>IFERROR(__xludf.DUMMYFUNCTION("""COMPUTED_VALUE"""),"ANTIOQUIANOS")</f>
        <v>ANTIOQUIANOS</v>
      </c>
      <c r="C12" s="128" t="str">
        <f>IFERROR(__xludf.DUMMYFUNCTION("""COMPUTED_VALUE"""),"AUDI ESTELA SAHUANAY HUISACAYNA")</f>
        <v>AUDI ESTELA SAHUANAY HUISACAYNA</v>
      </c>
      <c r="D12" s="128" t="str">
        <f>IFERROR(__xludf.DUMMYFUNCTION("""COMPUTED_VALUE"""),"ESC.LID-0252")</f>
        <v>ESC.LID-0252</v>
      </c>
      <c r="E12" s="127" t="str">
        <f>IFERROR(__xludf.DUMMYFUNCTION("""COMPUTED_VALUE"""),"C11A")</f>
        <v>C11A</v>
      </c>
      <c r="F12" s="127" t="str">
        <f>IFERROR(__xludf.DUMMYFUNCTION("""COMPUTED_VALUE"""),"ORTIZ GARCIA, ANTHONY")</f>
        <v>ORTIZ GARCIA, ANTHONY</v>
      </c>
      <c r="G12" s="128" t="str">
        <f>IFERROR(__xludf.DUMMYFUNCTION("""COMPUTED_VALUE"""),"72192544")</f>
        <v>72192544</v>
      </c>
      <c r="H12" s="128" t="str">
        <f>IFERROR(__xludf.DUMMYFUNCTION("""COMPUTED_VALUE"""),"989469908")</f>
        <v>989469908</v>
      </c>
      <c r="I12" s="129"/>
      <c r="J12" s="129">
        <f>DEVO!F13</f>
        <v>34964</v>
      </c>
      <c r="K12" s="129">
        <f t="shared" si="1"/>
        <v>34964</v>
      </c>
      <c r="L12" s="131">
        <f>IF(TODAY()&gt;=$O$1-6,SUM(OFFSET(ASISTENCIA!$E$1,MATCH($G12,ASISTENCIA!$E:$E,0)-1,MATCH(L$1,ASISTENCIA!$3:$3,0)-5,1,1)),"")</f>
        <v>4</v>
      </c>
      <c r="M12" s="131" t="str">
        <f>OFFSET(ASISTENCIA!$E$1,MATCH($G12,ASISTENCIA!$E:$E,0)-1,MATCH(M$1,ASISTENCIA!$3:$3,0)-5,1,1)</f>
        <v/>
      </c>
      <c r="N12" s="131">
        <f>OFFSET(ASISTENCIA!$E$1,MATCH($G12,ASISTENCIA!$E:$E,0)-1,MATCH(N$1,ASISTENCIA!$3:$3,0)-5,1,1)</f>
        <v>2</v>
      </c>
      <c r="O12" s="136">
        <f>IF(TODAY()&gt;=$O$1-6,SUM(OFFSET(DEVO!$F$1,MATCH($G12,DEVO!$E:$E,0)-1,MATCH(L$1,DEVO!$1:$1,0)-6,1,7)),"")</f>
        <v>1</v>
      </c>
      <c r="P12" s="131">
        <f>IF(TODAY()&gt;=$S$1-6,SUM(OFFSET(ASISTENCIA!$E$1,MATCH($G12,ASISTENCIA!$E:$E,0)-1,MATCH(P$1,ASISTENCIA!$3:$3,0)-5,1,1)),"")</f>
        <v>1</v>
      </c>
      <c r="Q12" s="131" t="str">
        <f>OFFSET(ASISTENCIA!$E$1,MATCH($G12,ASISTENCIA!$E:$E,0)-1,MATCH(Q$1,ASISTENCIA!$3:$3,0)-5,1,1)</f>
        <v/>
      </c>
      <c r="R12" s="131">
        <f>OFFSET(ASISTENCIA!$E$1,MATCH($G12,ASISTENCIA!$E:$E,0)-1,MATCH(R$1,ASISTENCIA!$3:$3,0)-5,1,1)</f>
        <v>1</v>
      </c>
      <c r="S12" s="136">
        <f>IF(TODAY()&gt;=$S$1-6,SUM(OFFSET(DEVO!$F$1,MATCH($G12,DEVO!$E:$E,0)-1,MATCH(P$1,DEVO!$1:$1,0)-6,1,7)),"")</f>
        <v>1</v>
      </c>
      <c r="T12" s="131">
        <f>IF(TODAY()&gt;=$W$1-6,SUM(OFFSET(ASISTENCIA!$E$1,MATCH($G12,ASISTENCIA!$E:$E,0)-1,MATCH(T$1,ASISTENCIA!$3:$3,0)-5,1,1)),"")</f>
        <v>0</v>
      </c>
      <c r="U12" s="131" t="str">
        <f>OFFSET(ASISTENCIA!$E$1,MATCH($G12,ASISTENCIA!$E:$E,0)-1,MATCH(U$1,ASISTENCIA!$3:$3,0)-5,1,1)</f>
        <v/>
      </c>
      <c r="V12" s="131" t="str">
        <f>OFFSET(ASISTENCIA!$E$1,MATCH($G12,ASISTENCIA!$E:$E,0)-1,MATCH(V$1,ASISTENCIA!$3:$3,0)-5,1,1)</f>
        <v/>
      </c>
      <c r="W12" s="136">
        <f>IF(TODAY()&gt;=$W$1-6,SUM(OFFSET(DEVO!$F$1,MATCH($G12,DEVO!$E:$E,0)-1,MATCH(T$1,DEVO!$1:$1,0)-6,1,7)),"")</f>
        <v>0</v>
      </c>
      <c r="X12" s="131">
        <f>IF(TODAY()&gt;=$AA$1-6,SUM(OFFSET(ASISTENCIA!$E$1,MATCH($G12,ASISTENCIA!$E:$E,0)-1,MATCH(X$1,ASISTENCIA!$3:$3,0)-5,1,1)),"")</f>
        <v>0</v>
      </c>
      <c r="Y12" s="131" t="str">
        <f>OFFSET(ASISTENCIA!$E$1,MATCH($G12,ASISTENCIA!$E:$E,0)-1,MATCH(Y$1,ASISTENCIA!$3:$3,0)-5,1,1)</f>
        <v/>
      </c>
      <c r="Z12" s="131" t="str">
        <f>OFFSET(ASISTENCIA!$E$1,MATCH($G12,ASISTENCIA!$E:$E,0)-1,MATCH(Z$1,ASISTENCIA!$3:$3,0)-5,1,1)</f>
        <v/>
      </c>
      <c r="AA12" s="136">
        <f>IF(TODAY()&gt;=$AA$1-6,SUM(OFFSET(DEVO!$F$1,MATCH($G12,DEVO!$E:$E,0)-1,MATCH(X$1,DEVO!$1:$1,0)-6,1,7)),"")</f>
        <v>0</v>
      </c>
      <c r="AB12" s="131">
        <f>IF(TODAY()&gt;=$AE$1-6,SUM(OFFSET(ASISTENCIA!$E$1,MATCH($G12,ASISTENCIA!$E:$E,0)-1,MATCH(AB$1,ASISTENCIA!$3:$3,0)-5,1,1)),"")</f>
        <v>1</v>
      </c>
      <c r="AC12" s="131" t="str">
        <f>OFFSET(ASISTENCIA!$E$1,MATCH($G12,ASISTENCIA!$E:$E,0)-1,MATCH(AC$1,ASISTENCIA!$3:$3,0)-5,1,1)</f>
        <v/>
      </c>
      <c r="AD12" s="131">
        <f>OFFSET(ASISTENCIA!$E$1,MATCH($G12,ASISTENCIA!$E:$E,0)-1,MATCH(AD$1,ASISTENCIA!$3:$3,0)-5,1,1)</f>
        <v>1</v>
      </c>
      <c r="AE12" s="136">
        <f>IF(TODAY()&gt;=$AE$1-6,SUM(OFFSET(DEVO!$F$1,MATCH($G12,DEVO!$E:$E,0)-1,MATCH(AB$1,DEVO!$1:$1,0)-6,1,7)),"")</f>
        <v>0</v>
      </c>
      <c r="AF12" s="131">
        <f>IF(TODAY()&gt;=$AI$1-6,SUM(OFFSET(ASISTENCIA!$E$1,MATCH($G12,ASISTENCIA!$E:$E,0)-1,MATCH(AF$1,ASISTENCIA!$3:$3,0)-5,1,1)),"")</f>
        <v>1</v>
      </c>
      <c r="AG12" s="131" t="str">
        <f>OFFSET(ASISTENCIA!$E$1,MATCH($G12,ASISTENCIA!$E:$E,0)-1,MATCH(AG$1,ASISTENCIA!$3:$3,0)-5,1,1)</f>
        <v/>
      </c>
      <c r="AH12" s="131">
        <f>OFFSET(ASISTENCIA!$E$1,MATCH($G12,ASISTENCIA!$E:$E,0)-1,MATCH(AH$1,ASISTENCIA!$3:$3,0)-5,1,1)</f>
        <v>1</v>
      </c>
      <c r="AI12" s="136">
        <f>IF(TODAY()&gt;=$AI$1-6,SUM(OFFSET(DEVO!$F$1,MATCH($G12,DEVO!$E:$E,0)-1,MATCH(AF$1,DEVO!$1:$1,0)-6,1,7)),"")</f>
        <v>0</v>
      </c>
      <c r="AJ12" s="131">
        <f>IF(TODAY()&gt;=$AM$1-6,SUM(OFFSET(ASISTENCIA!$E$1,MATCH($G12,ASISTENCIA!$E:$E,0)-1,MATCH(AJ$1,ASISTENCIA!$3:$3,0)-5,1,1)),"")</f>
        <v>1</v>
      </c>
      <c r="AK12" s="131" t="str">
        <f>OFFSET(ASISTENCIA!$E$1,MATCH($G12,ASISTENCIA!$E:$E,0)-1,MATCH(AK$1,ASISTENCIA!$3:$3,0)-5,1,1)</f>
        <v/>
      </c>
      <c r="AL12" s="131">
        <f>OFFSET(ASISTENCIA!$E$1,MATCH($G12,ASISTENCIA!$E:$E,0)-1,MATCH(AL$1,ASISTENCIA!$3:$3,0)-5,1,1)</f>
        <v>1</v>
      </c>
      <c r="AM12" s="136">
        <f>IF(TODAY()&gt;=$AM$1-6,SUM(OFFSET(DEVO!$F$1,MATCH($G12,DEVO!$E:$E,0)-1,MATCH(AJ$1,DEVO!$1:$1,0)-6,1,7)),"")</f>
        <v>0</v>
      </c>
      <c r="AN12" s="131">
        <f>IF(TODAY()&gt;=$AQ$1-6,SUM(OFFSET(ASISTENCIA!$E$1,MATCH($G12,ASISTENCIA!$E:$E,0)-1,MATCH(AN$1,ASISTENCIA!$3:$3,0)-5,1,1)),"")</f>
        <v>1</v>
      </c>
      <c r="AO12" s="131" t="str">
        <f>OFFSET(ASISTENCIA!$E$1,MATCH($G12,ASISTENCIA!$E:$E,0)-1,MATCH(AO$1,ASISTENCIA!$3:$3,0)-5,1,1)</f>
        <v/>
      </c>
      <c r="AP12" s="131">
        <f>OFFSET(ASISTENCIA!$E$1,MATCH($G12,ASISTENCIA!$E:$E,0)-1,MATCH(AP$1,ASISTENCIA!$3:$3,0)-5,1,1)</f>
        <v>1</v>
      </c>
      <c r="AQ12" s="136">
        <f>IF(TODAY()&gt;=$AQ$1-6,SUM(OFFSET(DEVO!$F$1,MATCH($G12,DEVO!$E:$E,0)-1,MATCH(AN$1,DEVO!$1:$1,0)-6,1,7)),"")</f>
        <v>0</v>
      </c>
      <c r="AR12" s="131">
        <f>IF(TODAY()&gt;=$AU$1-6,SUM(OFFSET(ASISTENCIA!$E$1,MATCH($G12,ASISTENCIA!$E:$E,0)-1,MATCH(AR$1,ASISTENCIA!$3:$3,0)-5,1,1)),"")</f>
        <v>1</v>
      </c>
      <c r="AS12" s="131" t="str">
        <f>OFFSET(ASISTENCIA!$E$1,MATCH($G12,ASISTENCIA!$E:$E,0)-1,MATCH(AS$1,ASISTENCIA!$3:$3,0)-5,1,1)</f>
        <v/>
      </c>
      <c r="AT12" s="131">
        <f>OFFSET(ASISTENCIA!$E$1,MATCH($G12,ASISTENCIA!$E:$E,0)-1,MATCH(AT$1,ASISTENCIA!$3:$3,0)-5,1,1)</f>
        <v>1</v>
      </c>
      <c r="AU12" s="136">
        <f>IF(TODAY()&gt;=$AU$1-6,SUM(OFFSET(DEVO!$F$1,MATCH($G12,DEVO!$E:$E,0)-1,MATCH(AR$1,DEVO!$1:$1,0)-6,1,7)),"")</f>
        <v>0</v>
      </c>
      <c r="AV12" s="131">
        <f>OFFSET(ASISTENCIA!$E$1,MATCH($G12,ASISTENCIA!$E:$E,0)-1,MATCH(AV$1,ASISTENCIA!$3:$3,0)-5,1,1)</f>
        <v>13</v>
      </c>
      <c r="AW12" s="131">
        <f>OFFSET(ASISTENCIA!$E$1,MATCH($G12,ASISTENCIA!$E:$E,0)-1,MATCH(AW$1,ASISTENCIA!$3:$3,0)-5,1,1)</f>
        <v>12</v>
      </c>
      <c r="AY12" s="173">
        <f t="shared" si="2"/>
        <v>1</v>
      </c>
      <c r="AZ12" s="174">
        <f t="shared" si="3"/>
        <v>1</v>
      </c>
      <c r="BA12" s="174">
        <f t="shared" si="4"/>
        <v>0</v>
      </c>
      <c r="BB12" s="174">
        <f t="shared" si="5"/>
        <v>0</v>
      </c>
      <c r="BC12" s="174">
        <f t="shared" si="6"/>
        <v>1</v>
      </c>
      <c r="BD12" s="174">
        <f t="shared" si="7"/>
        <v>1</v>
      </c>
      <c r="BE12" s="174">
        <f t="shared" si="8"/>
        <v>1</v>
      </c>
      <c r="BF12" s="174">
        <f t="shared" si="9"/>
        <v>1</v>
      </c>
      <c r="BG12" s="174">
        <f t="shared" si="10"/>
        <v>1</v>
      </c>
      <c r="BH12" s="152">
        <f t="shared" si="11"/>
        <v>7.777777778</v>
      </c>
      <c r="BI12" s="153" t="str">
        <f t="shared" si="12"/>
        <v>REGULARES</v>
      </c>
      <c r="BJ12" s="175" t="str">
        <f t="shared" si="13"/>
        <v>OBSERVADOS</v>
      </c>
      <c r="BK12" s="176" t="str">
        <f t="shared" si="14"/>
        <v>OBSERVADOS</v>
      </c>
      <c r="BL12" s="176" t="str">
        <f t="shared" si="15"/>
        <v>OBSERVADOS</v>
      </c>
      <c r="BM12" s="176" t="str">
        <f t="shared" si="16"/>
        <v>OBSERVADOS</v>
      </c>
      <c r="BN12" s="176" t="str">
        <f t="shared" si="17"/>
        <v>OBSERVADOS</v>
      </c>
      <c r="BO12" s="176" t="str">
        <f t="shared" si="18"/>
        <v>OBSERVADOS</v>
      </c>
      <c r="BP12" s="176" t="str">
        <f t="shared" si="19"/>
        <v>OBSERVADOS</v>
      </c>
      <c r="BQ12" s="176" t="str">
        <f t="shared" si="20"/>
        <v>OBSERVADOS</v>
      </c>
      <c r="BR12" s="176" t="str">
        <f t="shared" si="21"/>
        <v>OBSERVADOS</v>
      </c>
      <c r="BS12" s="207" t="str">
        <f>OFFSET(ASISTENCIA!$E$1,MATCH($G12,ASISTENCIA!$E:$E,0)-1,MATCH(BS$1,ASISTENCIA!$3:$3,0)-5,1,1)</f>
        <v/>
      </c>
      <c r="BT12" s="208" t="str">
        <f>OFFSET(ASISTENCIA!$E$1,MATCH($G12,ASISTENCIA!$E:$E,0)-1,MATCH(BT$1,ASISTENCIA!$3:$3,0)-5,1,1)</f>
        <v>Jaime Zegarra </v>
      </c>
      <c r="BU12" s="209" t="str">
        <f>OFFSET(ASISTENCIA!$E$1,MATCH($G12,ASISTENCIA!$E:$E,0)-1,MATCH(BU$1,ASISTENCIA!$3:$3,0)-5,1,1)</f>
        <v>923877478</v>
      </c>
      <c r="BV12" s="209" t="str">
        <f>OFFSET(ASISTENCIA!$E$1,MATCH($G12,ASISTENCIA!$E:$E,0)-1,MATCH(BV$1,ASISTENCIA!$3:$3,0)-5,1,1)</f>
        <v/>
      </c>
      <c r="BW12" s="55"/>
      <c r="BX12" s="55"/>
      <c r="BY12" s="55"/>
    </row>
    <row r="13" ht="18.0" customHeight="1">
      <c r="A13" s="123">
        <f t="shared" si="22"/>
        <v>10</v>
      </c>
      <c r="B13" s="127" t="str">
        <f>IFERROR(__xludf.DUMMYFUNCTION("""COMPUTED_VALUE"""),"ANTIOQUIANOS")</f>
        <v>ANTIOQUIANOS</v>
      </c>
      <c r="C13" s="128" t="str">
        <f>IFERROR(__xludf.DUMMYFUNCTION("""COMPUTED_VALUE"""),"AUDI ESTELA SAHUANAY HUISACAYNA")</f>
        <v>AUDI ESTELA SAHUANAY HUISACAYNA</v>
      </c>
      <c r="D13" s="128" t="str">
        <f>IFERROR(__xludf.DUMMYFUNCTION("""COMPUTED_VALUE"""),"ESC.LID-0259")</f>
        <v>ESC.LID-0259</v>
      </c>
      <c r="E13" s="127" t="str">
        <f>IFERROR(__xludf.DUMMYFUNCTION("""COMPUTED_VALUE"""),"C11A")</f>
        <v>C11A</v>
      </c>
      <c r="F13" s="127" t="str">
        <f>IFERROR(__xludf.DUMMYFUNCTION("""COMPUTED_VALUE"""),"PEREYRA CANCHES, EDGAR DANNY")</f>
        <v>PEREYRA CANCHES, EDGAR DANNY</v>
      </c>
      <c r="G13" s="128" t="str">
        <f>IFERROR(__xludf.DUMMYFUNCTION("""COMPUTED_VALUE"""),"45715957")</f>
        <v>45715957</v>
      </c>
      <c r="H13" s="128" t="str">
        <f>IFERROR(__xludf.DUMMYFUNCTION("""COMPUTED_VALUE"""),"991390851")</f>
        <v>991390851</v>
      </c>
      <c r="I13" s="129"/>
      <c r="J13" s="129">
        <f>DEVO!F14</f>
        <v>32591</v>
      </c>
      <c r="K13" s="129">
        <f t="shared" si="1"/>
        <v>32591</v>
      </c>
      <c r="L13" s="131">
        <f>IF(TODAY()&gt;=$O$1-6,SUM(OFFSET(ASISTENCIA!$E$1,MATCH($G13,ASISTENCIA!$E:$E,0)-1,MATCH(L$1,ASISTENCIA!$3:$3,0)-5,1,1)),"")</f>
        <v>1</v>
      </c>
      <c r="M13" s="131" t="str">
        <f>OFFSET(ASISTENCIA!$E$1,MATCH($G13,ASISTENCIA!$E:$E,0)-1,MATCH(M$1,ASISTENCIA!$3:$3,0)-5,1,1)</f>
        <v/>
      </c>
      <c r="N13" s="131" t="str">
        <f>OFFSET(ASISTENCIA!$E$1,MATCH($G13,ASISTENCIA!$E:$E,0)-1,MATCH(N$1,ASISTENCIA!$3:$3,0)-5,1,1)</f>
        <v/>
      </c>
      <c r="O13" s="136">
        <f>IF(TODAY()&gt;=$O$1-6,SUM(OFFSET(DEVO!$F$1,MATCH($G13,DEVO!$E:$E,0)-1,MATCH(L$1,DEVO!$1:$1,0)-6,1,7)),"")</f>
        <v>0</v>
      </c>
      <c r="P13" s="131">
        <f>IF(TODAY()&gt;=$S$1-6,SUM(OFFSET(ASISTENCIA!$E$1,MATCH($G13,ASISTENCIA!$E:$E,0)-1,MATCH(P$1,ASISTENCIA!$3:$3,0)-5,1,1)),"")</f>
        <v>3</v>
      </c>
      <c r="Q13" s="131" t="str">
        <f>OFFSET(ASISTENCIA!$E$1,MATCH($G13,ASISTENCIA!$E:$E,0)-1,MATCH(Q$1,ASISTENCIA!$3:$3,0)-5,1,1)</f>
        <v/>
      </c>
      <c r="R13" s="131">
        <f>OFFSET(ASISTENCIA!$E$1,MATCH($G13,ASISTENCIA!$E:$E,0)-1,MATCH(R$1,ASISTENCIA!$3:$3,0)-5,1,1)</f>
        <v>1</v>
      </c>
      <c r="S13" s="136">
        <f>IF(TODAY()&gt;=$S$1-6,SUM(OFFSET(DEVO!$F$1,MATCH($G13,DEVO!$E:$E,0)-1,MATCH(P$1,DEVO!$1:$1,0)-6,1,7)),"")</f>
        <v>0</v>
      </c>
      <c r="T13" s="131">
        <f>IF(TODAY()&gt;=$W$1-6,SUM(OFFSET(ASISTENCIA!$E$1,MATCH($G13,ASISTENCIA!$E:$E,0)-1,MATCH(T$1,ASISTENCIA!$3:$3,0)-5,1,1)),"")</f>
        <v>3</v>
      </c>
      <c r="U13" s="131" t="str">
        <f>OFFSET(ASISTENCIA!$E$1,MATCH($G13,ASISTENCIA!$E:$E,0)-1,MATCH(U$1,ASISTENCIA!$3:$3,0)-5,1,1)</f>
        <v/>
      </c>
      <c r="V13" s="131">
        <f>OFFSET(ASISTENCIA!$E$1,MATCH($G13,ASISTENCIA!$E:$E,0)-1,MATCH(V$1,ASISTENCIA!$3:$3,0)-5,1,1)</f>
        <v>1</v>
      </c>
      <c r="W13" s="136">
        <f>IF(TODAY()&gt;=$W$1-6,SUM(OFFSET(DEVO!$F$1,MATCH($G13,DEVO!$E:$E,0)-1,MATCH(T$1,DEVO!$1:$1,0)-6,1,7)),"")</f>
        <v>0</v>
      </c>
      <c r="X13" s="131">
        <f>IF(TODAY()&gt;=$AA$1-6,SUM(OFFSET(ASISTENCIA!$E$1,MATCH($G13,ASISTENCIA!$E:$E,0)-1,MATCH(X$1,ASISTENCIA!$3:$3,0)-5,1,1)),"")</f>
        <v>4</v>
      </c>
      <c r="Y13" s="131" t="str">
        <f>OFFSET(ASISTENCIA!$E$1,MATCH($G13,ASISTENCIA!$E:$E,0)-1,MATCH(Y$1,ASISTENCIA!$3:$3,0)-5,1,1)</f>
        <v/>
      </c>
      <c r="Z13" s="131">
        <f>OFFSET(ASISTENCIA!$E$1,MATCH($G13,ASISTENCIA!$E:$E,0)-1,MATCH(Z$1,ASISTENCIA!$3:$3,0)-5,1,1)</f>
        <v>1</v>
      </c>
      <c r="AA13" s="136">
        <f>IF(TODAY()&gt;=$AA$1-6,SUM(OFFSET(DEVO!$F$1,MATCH($G13,DEVO!$E:$E,0)-1,MATCH(X$1,DEVO!$1:$1,0)-6,1,7)),"")</f>
        <v>0</v>
      </c>
      <c r="AB13" s="131">
        <f>IF(TODAY()&gt;=$AE$1-6,SUM(OFFSET(ASISTENCIA!$E$1,MATCH($G13,ASISTENCIA!$E:$E,0)-1,MATCH(AB$1,ASISTENCIA!$3:$3,0)-5,1,1)),"")</f>
        <v>3</v>
      </c>
      <c r="AC13" s="131" t="str">
        <f>OFFSET(ASISTENCIA!$E$1,MATCH($G13,ASISTENCIA!$E:$E,0)-1,MATCH(AC$1,ASISTENCIA!$3:$3,0)-5,1,1)</f>
        <v/>
      </c>
      <c r="AD13" s="131">
        <f>OFFSET(ASISTENCIA!$E$1,MATCH($G13,ASISTENCIA!$E:$E,0)-1,MATCH(AD$1,ASISTENCIA!$3:$3,0)-5,1,1)</f>
        <v>1</v>
      </c>
      <c r="AE13" s="136">
        <f>IF(TODAY()&gt;=$AE$1-6,SUM(OFFSET(DEVO!$F$1,MATCH($G13,DEVO!$E:$E,0)-1,MATCH(AB$1,DEVO!$1:$1,0)-6,1,7)),"")</f>
        <v>0</v>
      </c>
      <c r="AF13" s="131">
        <f>IF(TODAY()&gt;=$AI$1-6,SUM(OFFSET(ASISTENCIA!$E$1,MATCH($G13,ASISTENCIA!$E:$E,0)-1,MATCH(AF$1,ASISTENCIA!$3:$3,0)-5,1,1)),"")</f>
        <v>1</v>
      </c>
      <c r="AG13" s="131" t="str">
        <f>OFFSET(ASISTENCIA!$E$1,MATCH($G13,ASISTENCIA!$E:$E,0)-1,MATCH(AG$1,ASISTENCIA!$3:$3,0)-5,1,1)</f>
        <v/>
      </c>
      <c r="AH13" s="131">
        <f>OFFSET(ASISTENCIA!$E$1,MATCH($G13,ASISTENCIA!$E:$E,0)-1,MATCH(AH$1,ASISTENCIA!$3:$3,0)-5,1,1)</f>
        <v>1</v>
      </c>
      <c r="AI13" s="136">
        <f>IF(TODAY()&gt;=$AI$1-6,SUM(OFFSET(DEVO!$F$1,MATCH($G13,DEVO!$E:$E,0)-1,MATCH(AF$1,DEVO!$1:$1,0)-6,1,7)),"")</f>
        <v>0</v>
      </c>
      <c r="AJ13" s="131">
        <f>IF(TODAY()&gt;=$AM$1-6,SUM(OFFSET(ASISTENCIA!$E$1,MATCH($G13,ASISTENCIA!$E:$E,0)-1,MATCH(AJ$1,ASISTENCIA!$3:$3,0)-5,1,1)),"")</f>
        <v>1</v>
      </c>
      <c r="AK13" s="131" t="str">
        <f>OFFSET(ASISTENCIA!$E$1,MATCH($G13,ASISTENCIA!$E:$E,0)-1,MATCH(AK$1,ASISTENCIA!$3:$3,0)-5,1,1)</f>
        <v/>
      </c>
      <c r="AL13" s="131">
        <f>OFFSET(ASISTENCIA!$E$1,MATCH($G13,ASISTENCIA!$E:$E,0)-1,MATCH(AL$1,ASISTENCIA!$3:$3,0)-5,1,1)</f>
        <v>1</v>
      </c>
      <c r="AM13" s="136">
        <f>IF(TODAY()&gt;=$AM$1-6,SUM(OFFSET(DEVO!$F$1,MATCH($G13,DEVO!$E:$E,0)-1,MATCH(AJ$1,DEVO!$1:$1,0)-6,1,7)),"")</f>
        <v>0</v>
      </c>
      <c r="AN13" s="131">
        <f>IF(TODAY()&gt;=$AQ$1-6,SUM(OFFSET(ASISTENCIA!$E$1,MATCH($G13,ASISTENCIA!$E:$E,0)-1,MATCH(AN$1,ASISTENCIA!$3:$3,0)-5,1,1)),"")</f>
        <v>1</v>
      </c>
      <c r="AO13" s="131" t="str">
        <f>OFFSET(ASISTENCIA!$E$1,MATCH($G13,ASISTENCIA!$E:$E,0)-1,MATCH(AO$1,ASISTENCIA!$3:$3,0)-5,1,1)</f>
        <v/>
      </c>
      <c r="AP13" s="131">
        <f>OFFSET(ASISTENCIA!$E$1,MATCH($G13,ASISTENCIA!$E:$E,0)-1,MATCH(AP$1,ASISTENCIA!$3:$3,0)-5,1,1)</f>
        <v>1</v>
      </c>
      <c r="AQ13" s="136">
        <f>IF(TODAY()&gt;=$AQ$1-6,SUM(OFFSET(DEVO!$F$1,MATCH($G13,DEVO!$E:$E,0)-1,MATCH(AN$1,DEVO!$1:$1,0)-6,1,7)),"")</f>
        <v>0</v>
      </c>
      <c r="AR13" s="131">
        <f>IF(TODAY()&gt;=$AU$1-6,SUM(OFFSET(ASISTENCIA!$E$1,MATCH($G13,ASISTENCIA!$E:$E,0)-1,MATCH(AR$1,ASISTENCIA!$3:$3,0)-5,1,1)),"")</f>
        <v>1</v>
      </c>
      <c r="AS13" s="131" t="str">
        <f>OFFSET(ASISTENCIA!$E$1,MATCH($G13,ASISTENCIA!$E:$E,0)-1,MATCH(AS$1,ASISTENCIA!$3:$3,0)-5,1,1)</f>
        <v/>
      </c>
      <c r="AT13" s="131">
        <f>OFFSET(ASISTENCIA!$E$1,MATCH($G13,ASISTENCIA!$E:$E,0)-1,MATCH(AT$1,ASISTENCIA!$3:$3,0)-5,1,1)</f>
        <v>1</v>
      </c>
      <c r="AU13" s="136">
        <f>IF(TODAY()&gt;=$AU$1-6,SUM(OFFSET(DEVO!$F$1,MATCH($G13,DEVO!$E:$E,0)-1,MATCH(AR$1,DEVO!$1:$1,0)-6,1,7)),"")</f>
        <v>0</v>
      </c>
      <c r="AV13" s="131">
        <f>OFFSET(ASISTENCIA!$E$1,MATCH($G13,ASISTENCIA!$E:$E,0)-1,MATCH(AV$1,ASISTENCIA!$3:$3,0)-5,1,1)</f>
        <v>13</v>
      </c>
      <c r="AW13" s="131">
        <f>OFFSET(ASISTENCIA!$E$1,MATCH($G13,ASISTENCIA!$E:$E,0)-1,MATCH(AW$1,ASISTENCIA!$3:$3,0)-5,1,1)</f>
        <v>20</v>
      </c>
      <c r="AY13" s="173">
        <f t="shared" si="2"/>
        <v>1</v>
      </c>
      <c r="AZ13" s="174">
        <f t="shared" si="3"/>
        <v>1</v>
      </c>
      <c r="BA13" s="174">
        <f t="shared" si="4"/>
        <v>1</v>
      </c>
      <c r="BB13" s="174">
        <f t="shared" si="5"/>
        <v>1</v>
      </c>
      <c r="BC13" s="174">
        <f t="shared" si="6"/>
        <v>1</v>
      </c>
      <c r="BD13" s="174">
        <f t="shared" si="7"/>
        <v>1</v>
      </c>
      <c r="BE13" s="174">
        <f t="shared" si="8"/>
        <v>1</v>
      </c>
      <c r="BF13" s="174">
        <f t="shared" si="9"/>
        <v>1</v>
      </c>
      <c r="BG13" s="174">
        <f t="shared" si="10"/>
        <v>1</v>
      </c>
      <c r="BH13" s="152">
        <f t="shared" si="11"/>
        <v>10</v>
      </c>
      <c r="BI13" s="153" t="str">
        <f t="shared" si="12"/>
        <v>EXCELENTES</v>
      </c>
      <c r="BJ13" s="175" t="str">
        <f t="shared" si="13"/>
        <v>OBSERVADOS</v>
      </c>
      <c r="BK13" s="176" t="str">
        <f t="shared" si="14"/>
        <v>OBSERVADOS</v>
      </c>
      <c r="BL13" s="176" t="str">
        <f t="shared" si="15"/>
        <v>OBSERVADOS</v>
      </c>
      <c r="BM13" s="176" t="str">
        <f t="shared" si="16"/>
        <v>OBSERVADOS</v>
      </c>
      <c r="BN13" s="176" t="str">
        <f t="shared" si="17"/>
        <v>OBSERVADOS</v>
      </c>
      <c r="BO13" s="176" t="str">
        <f t="shared" si="18"/>
        <v>OBSERVADOS</v>
      </c>
      <c r="BP13" s="176" t="str">
        <f t="shared" si="19"/>
        <v>OBSERVADOS</v>
      </c>
      <c r="BQ13" s="176" t="str">
        <f t="shared" si="20"/>
        <v>OBSERVADOS</v>
      </c>
      <c r="BR13" s="176" t="str">
        <f t="shared" si="21"/>
        <v>OBSERVADOS</v>
      </c>
      <c r="BS13" s="207" t="str">
        <f>OFFSET(ASISTENCIA!$E$1,MATCH($G13,ASISTENCIA!$E:$E,0)-1,MATCH(BS$1,ASISTENCIA!$3:$3,0)-5,1,1)</f>
        <v/>
      </c>
      <c r="BT13" s="208" t="str">
        <f>OFFSET(ASISTENCIA!$E$1,MATCH($G13,ASISTENCIA!$E:$E,0)-1,MATCH(BT$1,ASISTENCIA!$3:$3,0)-5,1,1)</f>
        <v>Carlos González </v>
      </c>
      <c r="BU13" s="209" t="str">
        <f>OFFSET(ASISTENCIA!$E$1,MATCH($G13,ASISTENCIA!$E:$E,0)-1,MATCH(BU$1,ASISTENCIA!$3:$3,0)-5,1,1)</f>
        <v>997622122</v>
      </c>
      <c r="BV13" s="209" t="str">
        <f>OFFSET(ASISTENCIA!$E$1,MATCH($G13,ASISTENCIA!$E:$E,0)-1,MATCH(BV$1,ASISTENCIA!$3:$3,0)-5,1,1)</f>
        <v/>
      </c>
      <c r="BW13" s="55"/>
      <c r="BX13" s="55"/>
      <c r="BY13" s="55"/>
    </row>
    <row r="14" ht="18.0" customHeight="1">
      <c r="A14" s="123">
        <f t="shared" si="22"/>
        <v>11</v>
      </c>
      <c r="B14" s="127" t="str">
        <f>IFERROR(__xludf.DUMMYFUNCTION("""COMPUTED_VALUE"""),"ANTIOQUIANOS")</f>
        <v>ANTIOQUIANOS</v>
      </c>
      <c r="C14" s="128" t="str">
        <f>IFERROR(__xludf.DUMMYFUNCTION("""COMPUTED_VALUE"""),"AUDI ESTELA SAHUANAY HUISACAYNA")</f>
        <v>AUDI ESTELA SAHUANAY HUISACAYNA</v>
      </c>
      <c r="D14" s="128" t="str">
        <f>IFERROR(__xludf.DUMMYFUNCTION("""COMPUTED_VALUE"""),"ESC.LID-0266")</f>
        <v>ESC.LID-0266</v>
      </c>
      <c r="E14" s="127" t="str">
        <f>IFERROR(__xludf.DUMMYFUNCTION("""COMPUTED_VALUE"""),"C21322")</f>
        <v>C21322</v>
      </c>
      <c r="F14" s="127" t="str">
        <f>IFERROR(__xludf.DUMMYFUNCTION("""COMPUTED_VALUE"""),"RAMOS ROJAS, SOCORRO")</f>
        <v>RAMOS ROJAS, SOCORRO</v>
      </c>
      <c r="G14" s="128" t="str">
        <f>IFERROR(__xludf.DUMMYFUNCTION("""COMPUTED_VALUE"""),"09334182")</f>
        <v>09334182</v>
      </c>
      <c r="H14" s="128" t="str">
        <f>IFERROR(__xludf.DUMMYFUNCTION("""COMPUTED_VALUE"""),"922838122")</f>
        <v>922838122</v>
      </c>
      <c r="I14" s="129"/>
      <c r="J14" s="129" t="str">
        <f>DEVO!F15</f>
        <v/>
      </c>
      <c r="K14" s="129" t="str">
        <f t="shared" si="1"/>
        <v/>
      </c>
      <c r="L14" s="131">
        <f>IF(TODAY()&gt;=$O$1-6,SUM(OFFSET(ASISTENCIA!$E$1,MATCH($G14,ASISTENCIA!$E:$E,0)-1,MATCH(L$1,ASISTENCIA!$3:$3,0)-5,1,1)),"")</f>
        <v>0</v>
      </c>
      <c r="M14" s="131" t="str">
        <f>OFFSET(ASISTENCIA!$E$1,MATCH($G14,ASISTENCIA!$E:$E,0)-1,MATCH(M$1,ASISTENCIA!$3:$3,0)-5,1,1)</f>
        <v/>
      </c>
      <c r="N14" s="131" t="str">
        <f>OFFSET(ASISTENCIA!$E$1,MATCH($G14,ASISTENCIA!$E:$E,0)-1,MATCH(N$1,ASISTENCIA!$3:$3,0)-5,1,1)</f>
        <v/>
      </c>
      <c r="O14" s="136">
        <f>IF(TODAY()&gt;=$O$1-6,SUM(OFFSET(DEVO!$F$1,MATCH($G14,DEVO!$E:$E,0)-1,MATCH(L$1,DEVO!$1:$1,0)-6,1,7)),"")</f>
        <v>0</v>
      </c>
      <c r="P14" s="131">
        <f>IF(TODAY()&gt;=$S$1-6,SUM(OFFSET(ASISTENCIA!$E$1,MATCH($G14,ASISTENCIA!$E:$E,0)-1,MATCH(P$1,ASISTENCIA!$3:$3,0)-5,1,1)),"")</f>
        <v>0</v>
      </c>
      <c r="Q14" s="131" t="str">
        <f>OFFSET(ASISTENCIA!$E$1,MATCH($G14,ASISTENCIA!$E:$E,0)-1,MATCH(Q$1,ASISTENCIA!$3:$3,0)-5,1,1)</f>
        <v/>
      </c>
      <c r="R14" s="131" t="str">
        <f>OFFSET(ASISTENCIA!$E$1,MATCH($G14,ASISTENCIA!$E:$E,0)-1,MATCH(R$1,ASISTENCIA!$3:$3,0)-5,1,1)</f>
        <v/>
      </c>
      <c r="S14" s="136">
        <f>IF(TODAY()&gt;=$S$1-6,SUM(OFFSET(DEVO!$F$1,MATCH($G14,DEVO!$E:$E,0)-1,MATCH(P$1,DEVO!$1:$1,0)-6,1,7)),"")</f>
        <v>0</v>
      </c>
      <c r="T14" s="131">
        <f>IF(TODAY()&gt;=$W$1-6,SUM(OFFSET(ASISTENCIA!$E$1,MATCH($G14,ASISTENCIA!$E:$E,0)-1,MATCH(T$1,ASISTENCIA!$3:$3,0)-5,1,1)),"")</f>
        <v>0</v>
      </c>
      <c r="U14" s="131" t="str">
        <f>OFFSET(ASISTENCIA!$E$1,MATCH($G14,ASISTENCIA!$E:$E,0)-1,MATCH(U$1,ASISTENCIA!$3:$3,0)-5,1,1)</f>
        <v/>
      </c>
      <c r="V14" s="131" t="str">
        <f>OFFSET(ASISTENCIA!$E$1,MATCH($G14,ASISTENCIA!$E:$E,0)-1,MATCH(V$1,ASISTENCIA!$3:$3,0)-5,1,1)</f>
        <v/>
      </c>
      <c r="W14" s="136">
        <f>IF(TODAY()&gt;=$W$1-6,SUM(OFFSET(DEVO!$F$1,MATCH($G14,DEVO!$E:$E,0)-1,MATCH(T$1,DEVO!$1:$1,0)-6,1,7)),"")</f>
        <v>0</v>
      </c>
      <c r="X14" s="131">
        <f>IF(TODAY()&gt;=$AA$1-6,SUM(OFFSET(ASISTENCIA!$E$1,MATCH($G14,ASISTENCIA!$E:$E,0)-1,MATCH(X$1,ASISTENCIA!$3:$3,0)-5,1,1)),"")</f>
        <v>0</v>
      </c>
      <c r="Y14" s="131" t="str">
        <f>OFFSET(ASISTENCIA!$E$1,MATCH($G14,ASISTENCIA!$E:$E,0)-1,MATCH(Y$1,ASISTENCIA!$3:$3,0)-5,1,1)</f>
        <v/>
      </c>
      <c r="Z14" s="131" t="str">
        <f>OFFSET(ASISTENCIA!$E$1,MATCH($G14,ASISTENCIA!$E:$E,0)-1,MATCH(Z$1,ASISTENCIA!$3:$3,0)-5,1,1)</f>
        <v/>
      </c>
      <c r="AA14" s="136">
        <f>IF(TODAY()&gt;=$AA$1-6,SUM(OFFSET(DEVO!$F$1,MATCH($G14,DEVO!$E:$E,0)-1,MATCH(X$1,DEVO!$1:$1,0)-6,1,7)),"")</f>
        <v>0</v>
      </c>
      <c r="AB14" s="131">
        <f>IF(TODAY()&gt;=$AE$1-6,SUM(OFFSET(ASISTENCIA!$E$1,MATCH($G14,ASISTENCIA!$E:$E,0)-1,MATCH(AB$1,ASISTENCIA!$3:$3,0)-5,1,1)),"")</f>
        <v>0</v>
      </c>
      <c r="AC14" s="131" t="str">
        <f>OFFSET(ASISTENCIA!$E$1,MATCH($G14,ASISTENCIA!$E:$E,0)-1,MATCH(AC$1,ASISTENCIA!$3:$3,0)-5,1,1)</f>
        <v/>
      </c>
      <c r="AD14" s="131" t="str">
        <f>OFFSET(ASISTENCIA!$E$1,MATCH($G14,ASISTENCIA!$E:$E,0)-1,MATCH(AD$1,ASISTENCIA!$3:$3,0)-5,1,1)</f>
        <v/>
      </c>
      <c r="AE14" s="136">
        <f>IF(TODAY()&gt;=$AE$1-6,SUM(OFFSET(DEVO!$F$1,MATCH($G14,DEVO!$E:$E,0)-1,MATCH(AB$1,DEVO!$1:$1,0)-6,1,7)),"")</f>
        <v>0</v>
      </c>
      <c r="AF14" s="131">
        <f>IF(TODAY()&gt;=$AI$1-6,SUM(OFFSET(ASISTENCIA!$E$1,MATCH($G14,ASISTENCIA!$E:$E,0)-1,MATCH(AF$1,ASISTENCIA!$3:$3,0)-5,1,1)),"")</f>
        <v>0</v>
      </c>
      <c r="AG14" s="131" t="str">
        <f>OFFSET(ASISTENCIA!$E$1,MATCH($G14,ASISTENCIA!$E:$E,0)-1,MATCH(AG$1,ASISTENCIA!$3:$3,0)-5,1,1)</f>
        <v/>
      </c>
      <c r="AH14" s="131" t="str">
        <f>OFFSET(ASISTENCIA!$E$1,MATCH($G14,ASISTENCIA!$E:$E,0)-1,MATCH(AH$1,ASISTENCIA!$3:$3,0)-5,1,1)</f>
        <v/>
      </c>
      <c r="AI14" s="136">
        <f>IF(TODAY()&gt;=$AI$1-6,SUM(OFFSET(DEVO!$F$1,MATCH($G14,DEVO!$E:$E,0)-1,MATCH(AF$1,DEVO!$1:$1,0)-6,1,7)),"")</f>
        <v>0</v>
      </c>
      <c r="AJ14" s="131">
        <f>IF(TODAY()&gt;=$AM$1-6,SUM(OFFSET(ASISTENCIA!$E$1,MATCH($G14,ASISTENCIA!$E:$E,0)-1,MATCH(AJ$1,ASISTENCIA!$3:$3,0)-5,1,1)),"")</f>
        <v>0</v>
      </c>
      <c r="AK14" s="131" t="str">
        <f>OFFSET(ASISTENCIA!$E$1,MATCH($G14,ASISTENCIA!$E:$E,0)-1,MATCH(AK$1,ASISTENCIA!$3:$3,0)-5,1,1)</f>
        <v/>
      </c>
      <c r="AL14" s="131" t="str">
        <f>OFFSET(ASISTENCIA!$E$1,MATCH($G14,ASISTENCIA!$E:$E,0)-1,MATCH(AL$1,ASISTENCIA!$3:$3,0)-5,1,1)</f>
        <v/>
      </c>
      <c r="AM14" s="136">
        <f>IF(TODAY()&gt;=$AM$1-6,SUM(OFFSET(DEVO!$F$1,MATCH($G14,DEVO!$E:$E,0)-1,MATCH(AJ$1,DEVO!$1:$1,0)-6,1,7)),"")</f>
        <v>0</v>
      </c>
      <c r="AN14" s="131">
        <f>IF(TODAY()&gt;=$AQ$1-6,SUM(OFFSET(ASISTENCIA!$E$1,MATCH($G14,ASISTENCIA!$E:$E,0)-1,MATCH(AN$1,ASISTENCIA!$3:$3,0)-5,1,1)),"")</f>
        <v>0</v>
      </c>
      <c r="AO14" s="131" t="str">
        <f>OFFSET(ASISTENCIA!$E$1,MATCH($G14,ASISTENCIA!$E:$E,0)-1,MATCH(AO$1,ASISTENCIA!$3:$3,0)-5,1,1)</f>
        <v/>
      </c>
      <c r="AP14" s="131" t="str">
        <f>OFFSET(ASISTENCIA!$E$1,MATCH($G14,ASISTENCIA!$E:$E,0)-1,MATCH(AP$1,ASISTENCIA!$3:$3,0)-5,1,1)</f>
        <v/>
      </c>
      <c r="AQ14" s="136">
        <f>IF(TODAY()&gt;=$AQ$1-6,SUM(OFFSET(DEVO!$F$1,MATCH($G14,DEVO!$E:$E,0)-1,MATCH(AN$1,DEVO!$1:$1,0)-6,1,7)),"")</f>
        <v>0</v>
      </c>
      <c r="AR14" s="131">
        <f>IF(TODAY()&gt;=$AU$1-6,SUM(OFFSET(ASISTENCIA!$E$1,MATCH($G14,ASISTENCIA!$E:$E,0)-1,MATCH(AR$1,ASISTENCIA!$3:$3,0)-5,1,1)),"")</f>
        <v>0</v>
      </c>
      <c r="AS14" s="131" t="str">
        <f>OFFSET(ASISTENCIA!$E$1,MATCH($G14,ASISTENCIA!$E:$E,0)-1,MATCH(AS$1,ASISTENCIA!$3:$3,0)-5,1,1)</f>
        <v/>
      </c>
      <c r="AT14" s="131" t="str">
        <f>OFFSET(ASISTENCIA!$E$1,MATCH($G14,ASISTENCIA!$E:$E,0)-1,MATCH(AT$1,ASISTENCIA!$3:$3,0)-5,1,1)</f>
        <v/>
      </c>
      <c r="AU14" s="136">
        <f>IF(TODAY()&gt;=$AU$1-6,SUM(OFFSET(DEVO!$F$1,MATCH($G14,DEVO!$E:$E,0)-1,MATCH(AR$1,DEVO!$1:$1,0)-6,1,7)),"")</f>
        <v>0</v>
      </c>
      <c r="AV14" s="131" t="str">
        <f>OFFSET(ASISTENCIA!$E$1,MATCH($G14,ASISTENCIA!$E:$E,0)-1,MATCH(AV$1,ASISTENCIA!$3:$3,0)-5,1,1)</f>
        <v/>
      </c>
      <c r="AW14" s="131" t="str">
        <f>OFFSET(ASISTENCIA!$E$1,MATCH($G14,ASISTENCIA!$E:$E,0)-1,MATCH(AW$1,ASISTENCIA!$3:$3,0)-5,1,1)</f>
        <v/>
      </c>
      <c r="AY14" s="173">
        <f t="shared" si="2"/>
        <v>0</v>
      </c>
      <c r="AZ14" s="174">
        <f t="shared" si="3"/>
        <v>0</v>
      </c>
      <c r="BA14" s="174">
        <f t="shared" si="4"/>
        <v>0</v>
      </c>
      <c r="BB14" s="174">
        <f t="shared" si="5"/>
        <v>0</v>
      </c>
      <c r="BC14" s="174">
        <f t="shared" si="6"/>
        <v>0</v>
      </c>
      <c r="BD14" s="174">
        <f t="shared" si="7"/>
        <v>0</v>
      </c>
      <c r="BE14" s="174">
        <f t="shared" si="8"/>
        <v>0</v>
      </c>
      <c r="BF14" s="174">
        <f t="shared" si="9"/>
        <v>0</v>
      </c>
      <c r="BG14" s="174">
        <f t="shared" si="10"/>
        <v>0</v>
      </c>
      <c r="BH14" s="152">
        <f t="shared" si="11"/>
        <v>0</v>
      </c>
      <c r="BI14" s="153" t="str">
        <f t="shared" si="12"/>
        <v>OBSERVADOS</v>
      </c>
      <c r="BJ14" s="175" t="str">
        <f t="shared" si="13"/>
        <v>OBSERVADOS</v>
      </c>
      <c r="BK14" s="176" t="str">
        <f t="shared" si="14"/>
        <v>OBSERVADOS</v>
      </c>
      <c r="BL14" s="176" t="str">
        <f t="shared" si="15"/>
        <v>OBSERVADOS</v>
      </c>
      <c r="BM14" s="176" t="str">
        <f t="shared" si="16"/>
        <v>OBSERVADOS</v>
      </c>
      <c r="BN14" s="176" t="str">
        <f t="shared" si="17"/>
        <v>OBSERVADOS</v>
      </c>
      <c r="BO14" s="176" t="str">
        <f t="shared" si="18"/>
        <v>OBSERVADOS</v>
      </c>
      <c r="BP14" s="176" t="str">
        <f t="shared" si="19"/>
        <v>OBSERVADOS</v>
      </c>
      <c r="BQ14" s="176" t="str">
        <f t="shared" si="20"/>
        <v>OBSERVADOS</v>
      </c>
      <c r="BR14" s="176" t="str">
        <f t="shared" si="21"/>
        <v>OBSERVADOS</v>
      </c>
      <c r="BS14" s="207" t="str">
        <f>OFFSET(ASISTENCIA!$E$1,MATCH($G14,ASISTENCIA!$E:$E,0)-1,MATCH(BS$1,ASISTENCIA!$3:$3,0)-5,1,1)</f>
        <v>No responde, solo dice "Gracias" y no contesta cuando se le llama</v>
      </c>
      <c r="BT14" s="208" t="str">
        <f>OFFSET(ASISTENCIA!$E$1,MATCH($G14,ASISTENCIA!$E:$E,0)-1,MATCH(BT$1,ASISTENCIA!$3:$3,0)-5,1,1)</f>
        <v/>
      </c>
      <c r="BU14" s="209" t="str">
        <f>OFFSET(ASISTENCIA!$E$1,MATCH($G14,ASISTENCIA!$E:$E,0)-1,MATCH(BU$1,ASISTENCIA!$3:$3,0)-5,1,1)</f>
        <v/>
      </c>
      <c r="BV14" s="209" t="str">
        <f>OFFSET(ASISTENCIA!$E$1,MATCH($G14,ASISTENCIA!$E:$E,0)-1,MATCH(BV$1,ASISTENCIA!$3:$3,0)-5,1,1)</f>
        <v/>
      </c>
      <c r="BW14" s="55"/>
      <c r="BX14" s="211"/>
      <c r="BY14" s="212" t="str">
        <f>IFERROR(__xludf.DUMMYFUNCTION("""COMPUTED_VALUE"""),"DEVOCIONAL")</f>
        <v>DEVOCIONAL</v>
      </c>
    </row>
    <row r="15" ht="18.0" customHeight="1">
      <c r="A15" s="123">
        <f t="shared" si="22"/>
        <v>12</v>
      </c>
      <c r="B15" s="127" t="str">
        <f>IFERROR(__xludf.DUMMYFUNCTION("""COMPUTED_VALUE"""),"ANTIOQUIANOS")</f>
        <v>ANTIOQUIANOS</v>
      </c>
      <c r="C15" s="213" t="str">
        <f>IFERROR(__xludf.DUMMYFUNCTION("""COMPUTED_VALUE"""),"AUDI ESTELA SAHUANAY HUISACAYNA")</f>
        <v>AUDI ESTELA SAHUANAY HUISACAYNA</v>
      </c>
      <c r="D15" s="128" t="str">
        <f>IFERROR(__xludf.DUMMYFUNCTION("""COMPUTED_VALUE"""),"ESC.LID-0268")</f>
        <v>ESC.LID-0268</v>
      </c>
      <c r="E15" s="127" t="str">
        <f>IFERROR(__xludf.DUMMYFUNCTION("""COMPUTED_VALUE"""),"C2133")</f>
        <v>C2133</v>
      </c>
      <c r="F15" s="127" t="str">
        <f>IFERROR(__xludf.DUMMYFUNCTION("""COMPUTED_VALUE"""),"REYES RUIZ, MARIBEL MERCEDES")</f>
        <v>REYES RUIZ, MARIBEL MERCEDES</v>
      </c>
      <c r="G15" s="128" t="str">
        <f>IFERROR(__xludf.DUMMYFUNCTION("""COMPUTED_VALUE"""),"07245185")</f>
        <v>07245185</v>
      </c>
      <c r="H15" s="128" t="str">
        <f>IFERROR(__xludf.DUMMYFUNCTION("""COMPUTED_VALUE"""),"927965919")</f>
        <v>927965919</v>
      </c>
      <c r="I15" s="129"/>
      <c r="J15" s="129">
        <f>DEVO!F16</f>
        <v>28247</v>
      </c>
      <c r="K15" s="129">
        <f t="shared" si="1"/>
        <v>28247</v>
      </c>
      <c r="L15" s="131">
        <f>IF(TODAY()&gt;=$O$1-6,SUM(OFFSET(ASISTENCIA!$E$1,MATCH($G15,ASISTENCIA!$E:$E,0)-1,MATCH(L$1,ASISTENCIA!$3:$3,0)-5,1,1)),"")</f>
        <v>4</v>
      </c>
      <c r="M15" s="131" t="str">
        <f>OFFSET(ASISTENCIA!$E$1,MATCH($G15,ASISTENCIA!$E:$E,0)-1,MATCH(M$1,ASISTENCIA!$3:$3,0)-5,1,1)</f>
        <v/>
      </c>
      <c r="N15" s="131">
        <f>OFFSET(ASISTENCIA!$E$1,MATCH($G15,ASISTENCIA!$E:$E,0)-1,MATCH(N$1,ASISTENCIA!$3:$3,0)-5,1,1)</f>
        <v>2</v>
      </c>
      <c r="O15" s="136">
        <f>IF(TODAY()&gt;=$O$1-6,SUM(OFFSET(DEVO!$F$1,MATCH($G15,DEVO!$E:$E,0)-1,MATCH(L$1,DEVO!$1:$1,0)-6,1,7)),"")</f>
        <v>7</v>
      </c>
      <c r="P15" s="131">
        <f>IF(TODAY()&gt;=$S$1-6,SUM(OFFSET(ASISTENCIA!$E$1,MATCH($G15,ASISTENCIA!$E:$E,0)-1,MATCH(P$1,ASISTENCIA!$3:$3,0)-5,1,1)),"")</f>
        <v>4</v>
      </c>
      <c r="Q15" s="131">
        <f>OFFSET(ASISTENCIA!$E$1,MATCH($G15,ASISTENCIA!$E:$E,0)-1,MATCH(Q$1,ASISTENCIA!$3:$3,0)-5,1,1)</f>
        <v>2</v>
      </c>
      <c r="R15" s="131">
        <f>OFFSET(ASISTENCIA!$E$1,MATCH($G15,ASISTENCIA!$E:$E,0)-1,MATCH(R$1,ASISTENCIA!$3:$3,0)-5,1,1)</f>
        <v>2</v>
      </c>
      <c r="S15" s="136">
        <f>IF(TODAY()&gt;=$S$1-6,SUM(OFFSET(DEVO!$F$1,MATCH($G15,DEVO!$E:$E,0)-1,MATCH(P$1,DEVO!$1:$1,0)-6,1,7)),"")</f>
        <v>7</v>
      </c>
      <c r="T15" s="131">
        <f>IF(TODAY()&gt;=$W$1-6,SUM(OFFSET(ASISTENCIA!$E$1,MATCH($G15,ASISTENCIA!$E:$E,0)-1,MATCH(T$1,ASISTENCIA!$3:$3,0)-5,1,1)),"")</f>
        <v>4</v>
      </c>
      <c r="U15" s="131" t="str">
        <f>OFFSET(ASISTENCIA!$E$1,MATCH($G15,ASISTENCIA!$E:$E,0)-1,MATCH(U$1,ASISTENCIA!$3:$3,0)-5,1,1)</f>
        <v/>
      </c>
      <c r="V15" s="131">
        <f>OFFSET(ASISTENCIA!$E$1,MATCH($G15,ASISTENCIA!$E:$E,0)-1,MATCH(V$1,ASISTENCIA!$3:$3,0)-5,1,1)</f>
        <v>2</v>
      </c>
      <c r="W15" s="136">
        <f>IF(TODAY()&gt;=$W$1-6,SUM(OFFSET(DEVO!$F$1,MATCH($G15,DEVO!$E:$E,0)-1,MATCH(T$1,DEVO!$1:$1,0)-6,1,7)),"")</f>
        <v>7</v>
      </c>
      <c r="X15" s="131">
        <f>IF(TODAY()&gt;=$AA$1-6,SUM(OFFSET(ASISTENCIA!$E$1,MATCH($G15,ASISTENCIA!$E:$E,0)-1,MATCH(X$1,ASISTENCIA!$3:$3,0)-5,1,1)),"")</f>
        <v>4</v>
      </c>
      <c r="Y15" s="131" t="str">
        <f>OFFSET(ASISTENCIA!$E$1,MATCH($G15,ASISTENCIA!$E:$E,0)-1,MATCH(Y$1,ASISTENCIA!$3:$3,0)-5,1,1)</f>
        <v/>
      </c>
      <c r="Z15" s="131">
        <f>OFFSET(ASISTENCIA!$E$1,MATCH($G15,ASISTENCIA!$E:$E,0)-1,MATCH(Z$1,ASISTENCIA!$3:$3,0)-5,1,1)</f>
        <v>1</v>
      </c>
      <c r="AA15" s="136">
        <f>IF(TODAY()&gt;=$AA$1-6,SUM(OFFSET(DEVO!$F$1,MATCH($G15,DEVO!$E:$E,0)-1,MATCH(X$1,DEVO!$1:$1,0)-6,1,7)),"")</f>
        <v>7</v>
      </c>
      <c r="AB15" s="131">
        <f>IF(TODAY()&gt;=$AE$1-6,SUM(OFFSET(ASISTENCIA!$E$1,MATCH($G15,ASISTENCIA!$E:$E,0)-1,MATCH(AB$1,ASISTENCIA!$3:$3,0)-5,1,1)),"")</f>
        <v>4</v>
      </c>
      <c r="AC15" s="131" t="str">
        <f>OFFSET(ASISTENCIA!$E$1,MATCH($G15,ASISTENCIA!$E:$E,0)-1,MATCH(AC$1,ASISTENCIA!$3:$3,0)-5,1,1)</f>
        <v/>
      </c>
      <c r="AD15" s="131">
        <f>OFFSET(ASISTENCIA!$E$1,MATCH($G15,ASISTENCIA!$E:$E,0)-1,MATCH(AD$1,ASISTENCIA!$3:$3,0)-5,1,1)</f>
        <v>2</v>
      </c>
      <c r="AE15" s="136">
        <f>IF(TODAY()&gt;=$AE$1-6,SUM(OFFSET(DEVO!$F$1,MATCH($G15,DEVO!$E:$E,0)-1,MATCH(AB$1,DEVO!$1:$1,0)-6,1,7)),"")</f>
        <v>7</v>
      </c>
      <c r="AF15" s="131">
        <f>IF(TODAY()&gt;=$AI$1-6,SUM(OFFSET(ASISTENCIA!$E$1,MATCH($G15,ASISTENCIA!$E:$E,0)-1,MATCH(AF$1,ASISTENCIA!$3:$3,0)-5,1,1)),"")</f>
        <v>1</v>
      </c>
      <c r="AG15" s="131" t="str">
        <f>OFFSET(ASISTENCIA!$E$1,MATCH($G15,ASISTENCIA!$E:$E,0)-1,MATCH(AG$1,ASISTENCIA!$3:$3,0)-5,1,1)</f>
        <v/>
      </c>
      <c r="AH15" s="131">
        <f>OFFSET(ASISTENCIA!$E$1,MATCH($G15,ASISTENCIA!$E:$E,0)-1,MATCH(AH$1,ASISTENCIA!$3:$3,0)-5,1,1)</f>
        <v>2</v>
      </c>
      <c r="AI15" s="136">
        <f>IF(TODAY()&gt;=$AI$1-6,SUM(OFFSET(DEVO!$F$1,MATCH($G15,DEVO!$E:$E,0)-1,MATCH(AF$1,DEVO!$1:$1,0)-6,1,7)),"")</f>
        <v>7</v>
      </c>
      <c r="AJ15" s="131">
        <f>IF(TODAY()&gt;=$AM$1-6,SUM(OFFSET(ASISTENCIA!$E$1,MATCH($G15,ASISTENCIA!$E:$E,0)-1,MATCH(AJ$1,ASISTENCIA!$3:$3,0)-5,1,1)),"")</f>
        <v>1</v>
      </c>
      <c r="AK15" s="131" t="str">
        <f>OFFSET(ASISTENCIA!$E$1,MATCH($G15,ASISTENCIA!$E:$E,0)-1,MATCH(AK$1,ASISTENCIA!$3:$3,0)-5,1,1)</f>
        <v/>
      </c>
      <c r="AL15" s="131">
        <f>OFFSET(ASISTENCIA!$E$1,MATCH($G15,ASISTENCIA!$E:$E,0)-1,MATCH(AL$1,ASISTENCIA!$3:$3,0)-5,1,1)</f>
        <v>2</v>
      </c>
      <c r="AM15" s="136">
        <f>IF(TODAY()&gt;=$AM$1-6,SUM(OFFSET(DEVO!$F$1,MATCH($G15,DEVO!$E:$E,0)-1,MATCH(AJ$1,DEVO!$1:$1,0)-6,1,7)),"")</f>
        <v>7</v>
      </c>
      <c r="AN15" s="131">
        <f>IF(TODAY()&gt;=$AQ$1-6,SUM(OFFSET(ASISTENCIA!$E$1,MATCH($G15,ASISTENCIA!$E:$E,0)-1,MATCH(AN$1,ASISTENCIA!$3:$3,0)-5,1,1)),"")</f>
        <v>1</v>
      </c>
      <c r="AO15" s="131" t="str">
        <f>OFFSET(ASISTENCIA!$E$1,MATCH($G15,ASISTENCIA!$E:$E,0)-1,MATCH(AO$1,ASISTENCIA!$3:$3,0)-5,1,1)</f>
        <v/>
      </c>
      <c r="AP15" s="131">
        <f>OFFSET(ASISTENCIA!$E$1,MATCH($G15,ASISTENCIA!$E:$E,0)-1,MATCH(AP$1,ASISTENCIA!$3:$3,0)-5,1,1)</f>
        <v>2</v>
      </c>
      <c r="AQ15" s="136">
        <f>IF(TODAY()&gt;=$AQ$1-6,SUM(OFFSET(DEVO!$F$1,MATCH($G15,DEVO!$E:$E,0)-1,MATCH(AN$1,DEVO!$1:$1,0)-6,1,7)),"")</f>
        <v>7</v>
      </c>
      <c r="AR15" s="131">
        <f>IF(TODAY()&gt;=$AU$1-6,SUM(OFFSET(ASISTENCIA!$E$1,MATCH($G15,ASISTENCIA!$E:$E,0)-1,MATCH(AR$1,ASISTENCIA!$3:$3,0)-5,1,1)),"")</f>
        <v>3</v>
      </c>
      <c r="AS15" s="131" t="str">
        <f>OFFSET(ASISTENCIA!$E$1,MATCH($G15,ASISTENCIA!$E:$E,0)-1,MATCH(AS$1,ASISTENCIA!$3:$3,0)-5,1,1)</f>
        <v/>
      </c>
      <c r="AT15" s="131">
        <f>OFFSET(ASISTENCIA!$E$1,MATCH($G15,ASISTENCIA!$E:$E,0)-1,MATCH(AT$1,ASISTENCIA!$3:$3,0)-5,1,1)</f>
        <v>2</v>
      </c>
      <c r="AU15" s="136">
        <f>IF(TODAY()&gt;=$AU$1-6,SUM(OFFSET(DEVO!$F$1,MATCH($G15,DEVO!$E:$E,0)-1,MATCH(AR$1,DEVO!$1:$1,0)-6,1,7)),"")</f>
        <v>4</v>
      </c>
      <c r="AV15" s="131">
        <f>OFFSET(ASISTENCIA!$E$1,MATCH($G15,ASISTENCIA!$E:$E,0)-1,MATCH(AV$1,ASISTENCIA!$3:$3,0)-5,1,1)</f>
        <v>19</v>
      </c>
      <c r="AW15" s="131">
        <f>OFFSET(ASISTENCIA!$E$1,MATCH($G15,ASISTENCIA!$E:$E,0)-1,MATCH(AW$1,ASISTENCIA!$3:$3,0)-5,1,1)</f>
        <v>20</v>
      </c>
      <c r="AY15" s="173">
        <f t="shared" si="2"/>
        <v>1</v>
      </c>
      <c r="AZ15" s="174">
        <f t="shared" si="3"/>
        <v>1</v>
      </c>
      <c r="BA15" s="174">
        <f t="shared" si="4"/>
        <v>1</v>
      </c>
      <c r="BB15" s="174">
        <f t="shared" si="5"/>
        <v>1</v>
      </c>
      <c r="BC15" s="174">
        <f t="shared" si="6"/>
        <v>1</v>
      </c>
      <c r="BD15" s="174">
        <f t="shared" si="7"/>
        <v>1</v>
      </c>
      <c r="BE15" s="174">
        <f t="shared" si="8"/>
        <v>1</v>
      </c>
      <c r="BF15" s="174">
        <f t="shared" si="9"/>
        <v>1</v>
      </c>
      <c r="BG15" s="174">
        <f t="shared" si="10"/>
        <v>1</v>
      </c>
      <c r="BH15" s="152">
        <f t="shared" si="11"/>
        <v>10</v>
      </c>
      <c r="BI15" s="153" t="str">
        <f t="shared" si="12"/>
        <v>EXCELENTES</v>
      </c>
      <c r="BJ15" s="175" t="str">
        <f t="shared" si="13"/>
        <v>EXCELENTES</v>
      </c>
      <c r="BK15" s="176" t="str">
        <f t="shared" si="14"/>
        <v>EXCELENTES</v>
      </c>
      <c r="BL15" s="176" t="str">
        <f t="shared" si="15"/>
        <v>EXCELENTES</v>
      </c>
      <c r="BM15" s="176" t="str">
        <f t="shared" si="16"/>
        <v>EXCELENTES</v>
      </c>
      <c r="BN15" s="176" t="str">
        <f t="shared" si="17"/>
        <v>EXCELENTES</v>
      </c>
      <c r="BO15" s="176" t="str">
        <f t="shared" si="18"/>
        <v>EXCELENTES</v>
      </c>
      <c r="BP15" s="176" t="str">
        <f t="shared" si="19"/>
        <v>EXCELENTES</v>
      </c>
      <c r="BQ15" s="176" t="str">
        <f t="shared" si="20"/>
        <v>EXCELENTES</v>
      </c>
      <c r="BR15" s="176" t="str">
        <f t="shared" si="21"/>
        <v>REGULARES</v>
      </c>
      <c r="BS15" s="207" t="str">
        <f>OFFSET(ASISTENCIA!$E$1,MATCH($G15,ASISTENCIA!$E:$E,0)-1,MATCH(BS$1,ASISTENCIA!$3:$3,0)-5,1,1)</f>
        <v/>
      </c>
      <c r="BT15" s="208" t="str">
        <f>OFFSET(ASISTENCIA!$E$1,MATCH($G15,ASISTENCIA!$E:$E,0)-1,MATCH(BT$1,ASISTENCIA!$3:$3,0)-5,1,1)</f>
        <v>Katerine Salas </v>
      </c>
      <c r="BU15" s="209" t="str">
        <f>OFFSET(ASISTENCIA!$E$1,MATCH($G15,ASISTENCIA!$E:$E,0)-1,MATCH(BU$1,ASISTENCIA!$3:$3,0)-5,1,1)</f>
        <v>950198680</v>
      </c>
      <c r="BV15" s="209" t="str">
        <f>OFFSET(ASISTENCIA!$E$1,MATCH($G15,ASISTENCIA!$E:$E,0)-1,MATCH(BV$1,ASISTENCIA!$3:$3,0)-5,1,1)</f>
        <v/>
      </c>
      <c r="BW15" s="165"/>
      <c r="BX15" s="214">
        <f>IFERROR(__xludf.DUMMYFUNCTION("""COMPUTED_VALUE"""),0.0)</f>
        <v>0</v>
      </c>
      <c r="BY15" s="180" t="str">
        <f>IFERROR(__xludf.DUMMYFUNCTION("""COMPUTED_VALUE"""),"OBSERVADOS")</f>
        <v>OBSERVADOS</v>
      </c>
    </row>
    <row r="16" ht="18.0" customHeight="1">
      <c r="A16" s="123">
        <f t="shared" si="22"/>
        <v>13</v>
      </c>
      <c r="B16" s="127" t="str">
        <f>IFERROR(__xludf.DUMMYFUNCTION("""COMPUTED_VALUE"""),"ANTIOQUIANOS")</f>
        <v>ANTIOQUIANOS</v>
      </c>
      <c r="C16" s="128" t="str">
        <f>IFERROR(__xludf.DUMMYFUNCTION("""COMPUTED_VALUE"""),"AUDI ESTELA SAHUANAY HUISACAYNA")</f>
        <v>AUDI ESTELA SAHUANAY HUISACAYNA</v>
      </c>
      <c r="D16" s="128" t="str">
        <f>IFERROR(__xludf.DUMMYFUNCTION("""COMPUTED_VALUE"""),"ESC.LID-0271")</f>
        <v>ESC.LID-0271</v>
      </c>
      <c r="E16" s="127" t="str">
        <f>IFERROR(__xludf.DUMMYFUNCTION("""COMPUTED_VALUE"""),"C2137")</f>
        <v>C2137</v>
      </c>
      <c r="F16" s="127" t="str">
        <f>IFERROR(__xludf.DUMMYFUNCTION("""COMPUTED_VALUE"""),"RIVAS  ALVAREZ, CARMEN ")</f>
        <v>RIVAS  ALVAREZ, CARMEN </v>
      </c>
      <c r="G16" s="128" t="str">
        <f>IFERROR(__xludf.DUMMYFUNCTION("""COMPUTED_VALUE"""),"10214646")</f>
        <v>10214646</v>
      </c>
      <c r="H16" s="128" t="str">
        <f>IFERROR(__xludf.DUMMYFUNCTION("""COMPUTED_VALUE"""),"961877000")</f>
        <v>961877000</v>
      </c>
      <c r="I16" s="129">
        <f>IFERROR(__xludf.DUMMYFUNCTION("""COMPUTED_VALUE"""),27508.0)</f>
        <v>27508</v>
      </c>
      <c r="J16" s="129">
        <f>DEVO!F17</f>
        <v>27508</v>
      </c>
      <c r="K16" s="129">
        <f t="shared" si="1"/>
        <v>27508</v>
      </c>
      <c r="L16" s="131">
        <f>IF(TODAY()&gt;=$O$1-6,SUM(OFFSET(ASISTENCIA!$E$1,MATCH($G16,ASISTENCIA!$E:$E,0)-1,MATCH(L$1,ASISTENCIA!$3:$3,0)-5,1,1)),"")</f>
        <v>1</v>
      </c>
      <c r="M16" s="131" t="str">
        <f>OFFSET(ASISTENCIA!$E$1,MATCH($G16,ASISTENCIA!$E:$E,0)-1,MATCH(M$1,ASISTENCIA!$3:$3,0)-5,1,1)</f>
        <v/>
      </c>
      <c r="N16" s="131" t="str">
        <f>OFFSET(ASISTENCIA!$E$1,MATCH($G16,ASISTENCIA!$E:$E,0)-1,MATCH(N$1,ASISTENCIA!$3:$3,0)-5,1,1)</f>
        <v/>
      </c>
      <c r="O16" s="136">
        <f>IF(TODAY()&gt;=$O$1-6,SUM(OFFSET(DEVO!$F$1,MATCH($G16,DEVO!$E:$E,0)-1,MATCH(L$1,DEVO!$1:$1,0)-6,1,7)),"")</f>
        <v>0</v>
      </c>
      <c r="P16" s="131">
        <f>IF(TODAY()&gt;=$S$1-6,SUM(OFFSET(ASISTENCIA!$E$1,MATCH($G16,ASISTENCIA!$E:$E,0)-1,MATCH(P$1,ASISTENCIA!$3:$3,0)-5,1,1)),"")</f>
        <v>1</v>
      </c>
      <c r="Q16" s="131" t="str">
        <f>OFFSET(ASISTENCIA!$E$1,MATCH($G16,ASISTENCIA!$E:$E,0)-1,MATCH(Q$1,ASISTENCIA!$3:$3,0)-5,1,1)</f>
        <v/>
      </c>
      <c r="R16" s="131" t="str">
        <f>OFFSET(ASISTENCIA!$E$1,MATCH($G16,ASISTENCIA!$E:$E,0)-1,MATCH(R$1,ASISTENCIA!$3:$3,0)-5,1,1)</f>
        <v/>
      </c>
      <c r="S16" s="136">
        <f>IF(TODAY()&gt;=$S$1-6,SUM(OFFSET(DEVO!$F$1,MATCH($G16,DEVO!$E:$E,0)-1,MATCH(P$1,DEVO!$1:$1,0)-6,1,7)),"")</f>
        <v>0</v>
      </c>
      <c r="T16" s="131">
        <f>IF(TODAY()&gt;=$W$1-6,SUM(OFFSET(ASISTENCIA!$E$1,MATCH($G16,ASISTENCIA!$E:$E,0)-1,MATCH(T$1,ASISTENCIA!$3:$3,0)-5,1,1)),"")</f>
        <v>1</v>
      </c>
      <c r="U16" s="131" t="str">
        <f>OFFSET(ASISTENCIA!$E$1,MATCH($G16,ASISTENCIA!$E:$E,0)-1,MATCH(U$1,ASISTENCIA!$3:$3,0)-5,1,1)</f>
        <v/>
      </c>
      <c r="V16" s="131" t="str">
        <f>OFFSET(ASISTENCIA!$E$1,MATCH($G16,ASISTENCIA!$E:$E,0)-1,MATCH(V$1,ASISTENCIA!$3:$3,0)-5,1,1)</f>
        <v/>
      </c>
      <c r="W16" s="136">
        <f>IF(TODAY()&gt;=$W$1-6,SUM(OFFSET(DEVO!$F$1,MATCH($G16,DEVO!$E:$E,0)-1,MATCH(T$1,DEVO!$1:$1,0)-6,1,7)),"")</f>
        <v>0</v>
      </c>
      <c r="X16" s="131">
        <f>IF(TODAY()&gt;=$AA$1-6,SUM(OFFSET(ASISTENCIA!$E$1,MATCH($G16,ASISTENCIA!$E:$E,0)-1,MATCH(X$1,ASISTENCIA!$3:$3,0)-5,1,1)),"")</f>
        <v>0</v>
      </c>
      <c r="Y16" s="131" t="str">
        <f>OFFSET(ASISTENCIA!$E$1,MATCH($G16,ASISTENCIA!$E:$E,0)-1,MATCH(Y$1,ASISTENCIA!$3:$3,0)-5,1,1)</f>
        <v/>
      </c>
      <c r="Z16" s="131" t="str">
        <f>OFFSET(ASISTENCIA!$E$1,MATCH($G16,ASISTENCIA!$E:$E,0)-1,MATCH(Z$1,ASISTENCIA!$3:$3,0)-5,1,1)</f>
        <v/>
      </c>
      <c r="AA16" s="136">
        <f>IF(TODAY()&gt;=$AA$1-6,SUM(OFFSET(DEVO!$F$1,MATCH($G16,DEVO!$E:$E,0)-1,MATCH(X$1,DEVO!$1:$1,0)-6,1,7)),"")</f>
        <v>0</v>
      </c>
      <c r="AB16" s="131">
        <f>IF(TODAY()&gt;=$AE$1-6,SUM(OFFSET(ASISTENCIA!$E$1,MATCH($G16,ASISTENCIA!$E:$E,0)-1,MATCH(AB$1,ASISTENCIA!$3:$3,0)-5,1,1)),"")</f>
        <v>0</v>
      </c>
      <c r="AC16" s="131" t="str">
        <f>OFFSET(ASISTENCIA!$E$1,MATCH($G16,ASISTENCIA!$E:$E,0)-1,MATCH(AC$1,ASISTENCIA!$3:$3,0)-5,1,1)</f>
        <v/>
      </c>
      <c r="AD16" s="131" t="str">
        <f>OFFSET(ASISTENCIA!$E$1,MATCH($G16,ASISTENCIA!$E:$E,0)-1,MATCH(AD$1,ASISTENCIA!$3:$3,0)-5,1,1)</f>
        <v/>
      </c>
      <c r="AE16" s="136">
        <f>IF(TODAY()&gt;=$AE$1-6,SUM(OFFSET(DEVO!$F$1,MATCH($G16,DEVO!$E:$E,0)-1,MATCH(AB$1,DEVO!$1:$1,0)-6,1,7)),"")</f>
        <v>0</v>
      </c>
      <c r="AF16" s="131">
        <f>IF(TODAY()&gt;=$AI$1-6,SUM(OFFSET(ASISTENCIA!$E$1,MATCH($G16,ASISTENCIA!$E:$E,0)-1,MATCH(AF$1,ASISTENCIA!$3:$3,0)-5,1,1)),"")</f>
        <v>0</v>
      </c>
      <c r="AG16" s="131" t="str">
        <f>OFFSET(ASISTENCIA!$E$1,MATCH($G16,ASISTENCIA!$E:$E,0)-1,MATCH(AG$1,ASISTENCIA!$3:$3,0)-5,1,1)</f>
        <v/>
      </c>
      <c r="AH16" s="131" t="str">
        <f>OFFSET(ASISTENCIA!$E$1,MATCH($G16,ASISTENCIA!$E:$E,0)-1,MATCH(AH$1,ASISTENCIA!$3:$3,0)-5,1,1)</f>
        <v/>
      </c>
      <c r="AI16" s="136">
        <f>IF(TODAY()&gt;=$AI$1-6,SUM(OFFSET(DEVO!$F$1,MATCH($G16,DEVO!$E:$E,0)-1,MATCH(AF$1,DEVO!$1:$1,0)-6,1,7)),"")</f>
        <v>0</v>
      </c>
      <c r="AJ16" s="131">
        <f>IF(TODAY()&gt;=$AM$1-6,SUM(OFFSET(ASISTENCIA!$E$1,MATCH($G16,ASISTENCIA!$E:$E,0)-1,MATCH(AJ$1,ASISTENCIA!$3:$3,0)-5,1,1)),"")</f>
        <v>0</v>
      </c>
      <c r="AK16" s="131" t="str">
        <f>OFFSET(ASISTENCIA!$E$1,MATCH($G16,ASISTENCIA!$E:$E,0)-1,MATCH(AK$1,ASISTENCIA!$3:$3,0)-5,1,1)</f>
        <v/>
      </c>
      <c r="AL16" s="131" t="str">
        <f>OFFSET(ASISTENCIA!$E$1,MATCH($G16,ASISTENCIA!$E:$E,0)-1,MATCH(AL$1,ASISTENCIA!$3:$3,0)-5,1,1)</f>
        <v/>
      </c>
      <c r="AM16" s="136">
        <f>IF(TODAY()&gt;=$AM$1-6,SUM(OFFSET(DEVO!$F$1,MATCH($G16,DEVO!$E:$E,0)-1,MATCH(AJ$1,DEVO!$1:$1,0)-6,1,7)),"")</f>
        <v>0</v>
      </c>
      <c r="AN16" s="131">
        <f>IF(TODAY()&gt;=$AQ$1-6,SUM(OFFSET(ASISTENCIA!$E$1,MATCH($G16,ASISTENCIA!$E:$E,0)-1,MATCH(AN$1,ASISTENCIA!$3:$3,0)-5,1,1)),"")</f>
        <v>0</v>
      </c>
      <c r="AO16" s="131" t="str">
        <f>OFFSET(ASISTENCIA!$E$1,MATCH($G16,ASISTENCIA!$E:$E,0)-1,MATCH(AO$1,ASISTENCIA!$3:$3,0)-5,1,1)</f>
        <v/>
      </c>
      <c r="AP16" s="131" t="str">
        <f>OFFSET(ASISTENCIA!$E$1,MATCH($G16,ASISTENCIA!$E:$E,0)-1,MATCH(AP$1,ASISTENCIA!$3:$3,0)-5,1,1)</f>
        <v/>
      </c>
      <c r="AQ16" s="136">
        <f>IF(TODAY()&gt;=$AQ$1-6,SUM(OFFSET(DEVO!$F$1,MATCH($G16,DEVO!$E:$E,0)-1,MATCH(AN$1,DEVO!$1:$1,0)-6,1,7)),"")</f>
        <v>0</v>
      </c>
      <c r="AR16" s="131">
        <f>IF(TODAY()&gt;=$AU$1-6,SUM(OFFSET(ASISTENCIA!$E$1,MATCH($G16,ASISTENCIA!$E:$E,0)-1,MATCH(AR$1,ASISTENCIA!$3:$3,0)-5,1,1)),"")</f>
        <v>0</v>
      </c>
      <c r="AS16" s="131" t="str">
        <f>OFFSET(ASISTENCIA!$E$1,MATCH($G16,ASISTENCIA!$E:$E,0)-1,MATCH(AS$1,ASISTENCIA!$3:$3,0)-5,1,1)</f>
        <v/>
      </c>
      <c r="AT16" s="131" t="str">
        <f>OFFSET(ASISTENCIA!$E$1,MATCH($G16,ASISTENCIA!$E:$E,0)-1,MATCH(AT$1,ASISTENCIA!$3:$3,0)-5,1,1)</f>
        <v/>
      </c>
      <c r="AU16" s="136">
        <f>IF(TODAY()&gt;=$AU$1-6,SUM(OFFSET(DEVO!$F$1,MATCH($G16,DEVO!$E:$E,0)-1,MATCH(AR$1,DEVO!$1:$1,0)-6,1,7)),"")</f>
        <v>0</v>
      </c>
      <c r="AV16" s="131" t="str">
        <f>OFFSET(ASISTENCIA!$E$1,MATCH($G16,ASISTENCIA!$E:$E,0)-1,MATCH(AV$1,ASISTENCIA!$3:$3,0)-5,1,1)</f>
        <v/>
      </c>
      <c r="AW16" s="131" t="str">
        <f>OFFSET(ASISTENCIA!$E$1,MATCH($G16,ASISTENCIA!$E:$E,0)-1,MATCH(AW$1,ASISTENCIA!$3:$3,0)-5,1,1)</f>
        <v/>
      </c>
      <c r="AY16" s="173">
        <f t="shared" si="2"/>
        <v>1</v>
      </c>
      <c r="AZ16" s="174">
        <f t="shared" si="3"/>
        <v>1</v>
      </c>
      <c r="BA16" s="174">
        <f t="shared" si="4"/>
        <v>1</v>
      </c>
      <c r="BB16" s="174">
        <f t="shared" si="5"/>
        <v>0</v>
      </c>
      <c r="BC16" s="174">
        <f t="shared" si="6"/>
        <v>0</v>
      </c>
      <c r="BD16" s="174">
        <f t="shared" si="7"/>
        <v>0</v>
      </c>
      <c r="BE16" s="174">
        <f t="shared" si="8"/>
        <v>0</v>
      </c>
      <c r="BF16" s="174">
        <f t="shared" si="9"/>
        <v>0</v>
      </c>
      <c r="BG16" s="174">
        <f t="shared" si="10"/>
        <v>0</v>
      </c>
      <c r="BH16" s="152">
        <f t="shared" si="11"/>
        <v>3.333333333</v>
      </c>
      <c r="BI16" s="153" t="str">
        <f t="shared" si="12"/>
        <v>OBSERVADOS</v>
      </c>
      <c r="BJ16" s="175" t="str">
        <f t="shared" si="13"/>
        <v>OBSERVADOS</v>
      </c>
      <c r="BK16" s="176" t="str">
        <f t="shared" si="14"/>
        <v>OBSERVADOS</v>
      </c>
      <c r="BL16" s="176" t="str">
        <f t="shared" si="15"/>
        <v>OBSERVADOS</v>
      </c>
      <c r="BM16" s="176" t="str">
        <f t="shared" si="16"/>
        <v>OBSERVADOS</v>
      </c>
      <c r="BN16" s="176" t="str">
        <f t="shared" si="17"/>
        <v>OBSERVADOS</v>
      </c>
      <c r="BO16" s="176" t="str">
        <f t="shared" si="18"/>
        <v>OBSERVADOS</v>
      </c>
      <c r="BP16" s="176" t="str">
        <f t="shared" si="19"/>
        <v>OBSERVADOS</v>
      </c>
      <c r="BQ16" s="176" t="str">
        <f t="shared" si="20"/>
        <v>OBSERVADOS</v>
      </c>
      <c r="BR16" s="176" t="str">
        <f t="shared" si="21"/>
        <v>OBSERVADOS</v>
      </c>
      <c r="BS16" s="207" t="str">
        <f>OFFSET(ASISTENCIA!$E$1,MATCH($G16,ASISTENCIA!$E:$E,0)-1,MATCH(BS$1,ASISTENCIA!$3:$3,0)-5,1,1)</f>
        <v/>
      </c>
      <c r="BT16" s="208" t="str">
        <f>OFFSET(ASISTENCIA!$E$1,MATCH($G16,ASISTENCIA!$E:$E,0)-1,MATCH(BT$1,ASISTENCIA!$3:$3,0)-5,1,1)</f>
        <v>Janet López Escobar </v>
      </c>
      <c r="BU16" s="209" t="str">
        <f>OFFSET(ASISTENCIA!$E$1,MATCH($G16,ASISTENCIA!$E:$E,0)-1,MATCH(BU$1,ASISTENCIA!$3:$3,0)-5,1,1)</f>
        <v>961852035</v>
      </c>
      <c r="BV16" s="209" t="str">
        <f>OFFSET(ASISTENCIA!$E$1,MATCH($G16,ASISTENCIA!$E:$E,0)-1,MATCH(BV$1,ASISTENCIA!$3:$3,0)-5,1,1)</f>
        <v/>
      </c>
      <c r="BW16" s="165"/>
      <c r="BX16" s="179">
        <f>IFERROR(__xludf.DUMMYFUNCTION("""COMPUTED_VALUE"""),3.5714285714285716)</f>
        <v>3.571428571</v>
      </c>
      <c r="BY16" s="180" t="str">
        <f>IFERROR(__xludf.DUMMYFUNCTION("""COMPUTED_VALUE"""),"OBSERVADOS")</f>
        <v>OBSERVADOS</v>
      </c>
    </row>
    <row r="17" ht="18.0" customHeight="1">
      <c r="A17" s="123">
        <f t="shared" si="22"/>
        <v>14</v>
      </c>
      <c r="B17" s="127" t="str">
        <f>IFERROR(__xludf.DUMMYFUNCTION("""COMPUTED_VALUE"""),"ANTIOQUIANOS")</f>
        <v>ANTIOQUIANOS</v>
      </c>
      <c r="C17" s="128" t="str">
        <f>IFERROR(__xludf.DUMMYFUNCTION("""COMPUTED_VALUE"""),"AUDI ESTELA SAHUANAY HUISACAYNA")</f>
        <v>AUDI ESTELA SAHUANAY HUISACAYNA</v>
      </c>
      <c r="D17" s="128" t="str">
        <f>IFERROR(__xludf.DUMMYFUNCTION("""COMPUTED_VALUE"""),"ESC.LID-0274")</f>
        <v>ESC.LID-0274</v>
      </c>
      <c r="E17" s="127" t="str">
        <f>IFERROR(__xludf.DUMMYFUNCTION("""COMPUTED_VALUE"""),"C213B2")</f>
        <v>C213B2</v>
      </c>
      <c r="F17" s="127" t="str">
        <f>IFERROR(__xludf.DUMMYFUNCTION("""COMPUTED_VALUE"""),"ROJAS MORALES, GIANELLA")</f>
        <v>ROJAS MORALES, GIANELLA</v>
      </c>
      <c r="G17" s="128" t="str">
        <f>IFERROR(__xludf.DUMMYFUNCTION("""COMPUTED_VALUE"""),"74971204")</f>
        <v>74971204</v>
      </c>
      <c r="H17" s="128" t="str">
        <f>IFERROR(__xludf.DUMMYFUNCTION("""COMPUTED_VALUE"""),"904523692")</f>
        <v>904523692</v>
      </c>
      <c r="I17" s="129">
        <f>IFERROR(__xludf.DUMMYFUNCTION("""COMPUTED_VALUE"""),36820.0)</f>
        <v>36820</v>
      </c>
      <c r="J17" s="129">
        <f>DEVO!F18</f>
        <v>36820</v>
      </c>
      <c r="K17" s="129">
        <f t="shared" si="1"/>
        <v>36820</v>
      </c>
      <c r="L17" s="131">
        <f>IF(TODAY()&gt;=$O$1-6,SUM(OFFSET(ASISTENCIA!$E$1,MATCH($G17,ASISTENCIA!$E:$E,0)-1,MATCH(L$1,ASISTENCIA!$3:$3,0)-5,1,1)),"")</f>
        <v>0</v>
      </c>
      <c r="M17" s="131" t="str">
        <f>OFFSET(ASISTENCIA!$E$1,MATCH($G17,ASISTENCIA!$E:$E,0)-1,MATCH(M$1,ASISTENCIA!$3:$3,0)-5,1,1)</f>
        <v/>
      </c>
      <c r="N17" s="131" t="str">
        <f>OFFSET(ASISTENCIA!$E$1,MATCH($G17,ASISTENCIA!$E:$E,0)-1,MATCH(N$1,ASISTENCIA!$3:$3,0)-5,1,1)</f>
        <v/>
      </c>
      <c r="O17" s="136">
        <f>IF(TODAY()&gt;=$O$1-6,SUM(OFFSET(DEVO!$F$1,MATCH($G17,DEVO!$E:$E,0)-1,MATCH(L$1,DEVO!$1:$1,0)-6,1,7)),"")</f>
        <v>0</v>
      </c>
      <c r="P17" s="131">
        <f>IF(TODAY()&gt;=$S$1-6,SUM(OFFSET(ASISTENCIA!$E$1,MATCH($G17,ASISTENCIA!$E:$E,0)-1,MATCH(P$1,ASISTENCIA!$3:$3,0)-5,1,1)),"")</f>
        <v>0</v>
      </c>
      <c r="Q17" s="131" t="str">
        <f>OFFSET(ASISTENCIA!$E$1,MATCH($G17,ASISTENCIA!$E:$E,0)-1,MATCH(Q$1,ASISTENCIA!$3:$3,0)-5,1,1)</f>
        <v/>
      </c>
      <c r="R17" s="131" t="str">
        <f>OFFSET(ASISTENCIA!$E$1,MATCH($G17,ASISTENCIA!$E:$E,0)-1,MATCH(R$1,ASISTENCIA!$3:$3,0)-5,1,1)</f>
        <v/>
      </c>
      <c r="S17" s="136">
        <f>IF(TODAY()&gt;=$S$1-6,SUM(OFFSET(DEVO!$F$1,MATCH($G17,DEVO!$E:$E,0)-1,MATCH(P$1,DEVO!$1:$1,0)-6,1,7)),"")</f>
        <v>0</v>
      </c>
      <c r="T17" s="131">
        <f>IF(TODAY()&gt;=$W$1-6,SUM(OFFSET(ASISTENCIA!$E$1,MATCH($G17,ASISTENCIA!$E:$E,0)-1,MATCH(T$1,ASISTENCIA!$3:$3,0)-5,1,1)),"")</f>
        <v>0</v>
      </c>
      <c r="U17" s="131" t="str">
        <f>OFFSET(ASISTENCIA!$E$1,MATCH($G17,ASISTENCIA!$E:$E,0)-1,MATCH(U$1,ASISTENCIA!$3:$3,0)-5,1,1)</f>
        <v/>
      </c>
      <c r="V17" s="131" t="str">
        <f>OFFSET(ASISTENCIA!$E$1,MATCH($G17,ASISTENCIA!$E:$E,0)-1,MATCH(V$1,ASISTENCIA!$3:$3,0)-5,1,1)</f>
        <v/>
      </c>
      <c r="W17" s="136">
        <f>IF(TODAY()&gt;=$W$1-6,SUM(OFFSET(DEVO!$F$1,MATCH($G17,DEVO!$E:$E,0)-1,MATCH(T$1,DEVO!$1:$1,0)-6,1,7)),"")</f>
        <v>0</v>
      </c>
      <c r="X17" s="131">
        <f>IF(TODAY()&gt;=$AA$1-6,SUM(OFFSET(ASISTENCIA!$E$1,MATCH($G17,ASISTENCIA!$E:$E,0)-1,MATCH(X$1,ASISTENCIA!$3:$3,0)-5,1,1)),"")</f>
        <v>0</v>
      </c>
      <c r="Y17" s="131" t="str">
        <f>OFFSET(ASISTENCIA!$E$1,MATCH($G17,ASISTENCIA!$E:$E,0)-1,MATCH(Y$1,ASISTENCIA!$3:$3,0)-5,1,1)</f>
        <v/>
      </c>
      <c r="Z17" s="131" t="str">
        <f>OFFSET(ASISTENCIA!$E$1,MATCH($G17,ASISTENCIA!$E:$E,0)-1,MATCH(Z$1,ASISTENCIA!$3:$3,0)-5,1,1)</f>
        <v/>
      </c>
      <c r="AA17" s="136">
        <f>IF(TODAY()&gt;=$AA$1-6,SUM(OFFSET(DEVO!$F$1,MATCH($G17,DEVO!$E:$E,0)-1,MATCH(X$1,DEVO!$1:$1,0)-6,1,7)),"")</f>
        <v>1</v>
      </c>
      <c r="AB17" s="131">
        <f>IF(TODAY()&gt;=$AE$1-6,SUM(OFFSET(ASISTENCIA!$E$1,MATCH($G17,ASISTENCIA!$E:$E,0)-1,MATCH(AB$1,ASISTENCIA!$3:$3,0)-5,1,1)),"")</f>
        <v>0</v>
      </c>
      <c r="AC17" s="131" t="str">
        <f>OFFSET(ASISTENCIA!$E$1,MATCH($G17,ASISTENCIA!$E:$E,0)-1,MATCH(AC$1,ASISTENCIA!$3:$3,0)-5,1,1)</f>
        <v/>
      </c>
      <c r="AD17" s="131" t="str">
        <f>OFFSET(ASISTENCIA!$E$1,MATCH($G17,ASISTENCIA!$E:$E,0)-1,MATCH(AD$1,ASISTENCIA!$3:$3,0)-5,1,1)</f>
        <v/>
      </c>
      <c r="AE17" s="136">
        <f>IF(TODAY()&gt;=$AE$1-6,SUM(OFFSET(DEVO!$F$1,MATCH($G17,DEVO!$E:$E,0)-1,MATCH(AB$1,DEVO!$1:$1,0)-6,1,7)),"")</f>
        <v>0</v>
      </c>
      <c r="AF17" s="131">
        <f>IF(TODAY()&gt;=$AI$1-6,SUM(OFFSET(ASISTENCIA!$E$1,MATCH($G17,ASISTENCIA!$E:$E,0)-1,MATCH(AF$1,ASISTENCIA!$3:$3,0)-5,1,1)),"")</f>
        <v>0</v>
      </c>
      <c r="AG17" s="131" t="str">
        <f>OFFSET(ASISTENCIA!$E$1,MATCH($G17,ASISTENCIA!$E:$E,0)-1,MATCH(AG$1,ASISTENCIA!$3:$3,0)-5,1,1)</f>
        <v/>
      </c>
      <c r="AH17" s="131" t="str">
        <f>OFFSET(ASISTENCIA!$E$1,MATCH($G17,ASISTENCIA!$E:$E,0)-1,MATCH(AH$1,ASISTENCIA!$3:$3,0)-5,1,1)</f>
        <v/>
      </c>
      <c r="AI17" s="136">
        <f>IF(TODAY()&gt;=$AI$1-6,SUM(OFFSET(DEVO!$F$1,MATCH($G17,DEVO!$E:$E,0)-1,MATCH(AF$1,DEVO!$1:$1,0)-6,1,7)),"")</f>
        <v>0</v>
      </c>
      <c r="AJ17" s="131">
        <f>IF(TODAY()&gt;=$AM$1-6,SUM(OFFSET(ASISTENCIA!$E$1,MATCH($G17,ASISTENCIA!$E:$E,0)-1,MATCH(AJ$1,ASISTENCIA!$3:$3,0)-5,1,1)),"")</f>
        <v>0</v>
      </c>
      <c r="AK17" s="131" t="str">
        <f>OFFSET(ASISTENCIA!$E$1,MATCH($G17,ASISTENCIA!$E:$E,0)-1,MATCH(AK$1,ASISTENCIA!$3:$3,0)-5,1,1)</f>
        <v/>
      </c>
      <c r="AL17" s="131" t="str">
        <f>OFFSET(ASISTENCIA!$E$1,MATCH($G17,ASISTENCIA!$E:$E,0)-1,MATCH(AL$1,ASISTENCIA!$3:$3,0)-5,1,1)</f>
        <v/>
      </c>
      <c r="AM17" s="136">
        <f>IF(TODAY()&gt;=$AM$1-6,SUM(OFFSET(DEVO!$F$1,MATCH($G17,DEVO!$E:$E,0)-1,MATCH(AJ$1,DEVO!$1:$1,0)-6,1,7)),"")</f>
        <v>0</v>
      </c>
      <c r="AN17" s="131">
        <f>IF(TODAY()&gt;=$AQ$1-6,SUM(OFFSET(ASISTENCIA!$E$1,MATCH($G17,ASISTENCIA!$E:$E,0)-1,MATCH(AN$1,ASISTENCIA!$3:$3,0)-5,1,1)),"")</f>
        <v>0</v>
      </c>
      <c r="AO17" s="131" t="str">
        <f>OFFSET(ASISTENCIA!$E$1,MATCH($G17,ASISTENCIA!$E:$E,0)-1,MATCH(AO$1,ASISTENCIA!$3:$3,0)-5,1,1)</f>
        <v/>
      </c>
      <c r="AP17" s="131" t="str">
        <f>OFFSET(ASISTENCIA!$E$1,MATCH($G17,ASISTENCIA!$E:$E,0)-1,MATCH(AP$1,ASISTENCIA!$3:$3,0)-5,1,1)</f>
        <v/>
      </c>
      <c r="AQ17" s="136">
        <f>IF(TODAY()&gt;=$AQ$1-6,SUM(OFFSET(DEVO!$F$1,MATCH($G17,DEVO!$E:$E,0)-1,MATCH(AN$1,DEVO!$1:$1,0)-6,1,7)),"")</f>
        <v>0</v>
      </c>
      <c r="AR17" s="131">
        <f>IF(TODAY()&gt;=$AU$1-6,SUM(OFFSET(ASISTENCIA!$E$1,MATCH($G17,ASISTENCIA!$E:$E,0)-1,MATCH(AR$1,ASISTENCIA!$3:$3,0)-5,1,1)),"")</f>
        <v>0</v>
      </c>
      <c r="AS17" s="131" t="str">
        <f>OFFSET(ASISTENCIA!$E$1,MATCH($G17,ASISTENCIA!$E:$E,0)-1,MATCH(AS$1,ASISTENCIA!$3:$3,0)-5,1,1)</f>
        <v/>
      </c>
      <c r="AT17" s="131" t="str">
        <f>OFFSET(ASISTENCIA!$E$1,MATCH($G17,ASISTENCIA!$E:$E,0)-1,MATCH(AT$1,ASISTENCIA!$3:$3,0)-5,1,1)</f>
        <v/>
      </c>
      <c r="AU17" s="136">
        <f>IF(TODAY()&gt;=$AU$1-6,SUM(OFFSET(DEVO!$F$1,MATCH($G17,DEVO!$E:$E,0)-1,MATCH(AR$1,DEVO!$1:$1,0)-6,1,7)),"")</f>
        <v>0</v>
      </c>
      <c r="AV17" s="131" t="str">
        <f>OFFSET(ASISTENCIA!$E$1,MATCH($G17,ASISTENCIA!$E:$E,0)-1,MATCH(AV$1,ASISTENCIA!$3:$3,0)-5,1,1)</f>
        <v/>
      </c>
      <c r="AW17" s="131" t="str">
        <f>OFFSET(ASISTENCIA!$E$1,MATCH($G17,ASISTENCIA!$E:$E,0)-1,MATCH(AW$1,ASISTENCIA!$3:$3,0)-5,1,1)</f>
        <v/>
      </c>
      <c r="AY17" s="173">
        <f t="shared" si="2"/>
        <v>0</v>
      </c>
      <c r="AZ17" s="174">
        <f t="shared" si="3"/>
        <v>0</v>
      </c>
      <c r="BA17" s="174">
        <f t="shared" si="4"/>
        <v>0</v>
      </c>
      <c r="BB17" s="174">
        <f t="shared" si="5"/>
        <v>0</v>
      </c>
      <c r="BC17" s="174">
        <f t="shared" si="6"/>
        <v>0</v>
      </c>
      <c r="BD17" s="174">
        <f t="shared" si="7"/>
        <v>0</v>
      </c>
      <c r="BE17" s="174">
        <f t="shared" si="8"/>
        <v>0</v>
      </c>
      <c r="BF17" s="174">
        <f t="shared" si="9"/>
        <v>0</v>
      </c>
      <c r="BG17" s="174">
        <f t="shared" si="10"/>
        <v>0</v>
      </c>
      <c r="BH17" s="152">
        <f t="shared" si="11"/>
        <v>0</v>
      </c>
      <c r="BI17" s="153" t="str">
        <f t="shared" si="12"/>
        <v>OBSERVADOS</v>
      </c>
      <c r="BJ17" s="175" t="str">
        <f t="shared" si="13"/>
        <v>OBSERVADOS</v>
      </c>
      <c r="BK17" s="176" t="str">
        <f t="shared" si="14"/>
        <v>OBSERVADOS</v>
      </c>
      <c r="BL17" s="176" t="str">
        <f t="shared" si="15"/>
        <v>OBSERVADOS</v>
      </c>
      <c r="BM17" s="176" t="str">
        <f t="shared" si="16"/>
        <v>OBSERVADOS</v>
      </c>
      <c r="BN17" s="176" t="str">
        <f t="shared" si="17"/>
        <v>OBSERVADOS</v>
      </c>
      <c r="BO17" s="176" t="str">
        <f t="shared" si="18"/>
        <v>OBSERVADOS</v>
      </c>
      <c r="BP17" s="176" t="str">
        <f t="shared" si="19"/>
        <v>OBSERVADOS</v>
      </c>
      <c r="BQ17" s="176" t="str">
        <f t="shared" si="20"/>
        <v>OBSERVADOS</v>
      </c>
      <c r="BR17" s="176" t="str">
        <f t="shared" si="21"/>
        <v>OBSERVADOS</v>
      </c>
      <c r="BS17" s="207" t="str">
        <f>OFFSET(ASISTENCIA!$E$1,MATCH($G17,ASISTENCIA!$E:$E,0)-1,MATCH(BS$1,ASISTENCIA!$3:$3,0)-5,1,1)</f>
        <v>No contesta, deja en visto</v>
      </c>
      <c r="BT17" s="208" t="str">
        <f>OFFSET(ASISTENCIA!$E$1,MATCH($G17,ASISTENCIA!$E:$E,0)-1,MATCH(BT$1,ASISTENCIA!$3:$3,0)-5,1,1)</f>
        <v>Luz Bravo </v>
      </c>
      <c r="BU17" s="209" t="str">
        <f>OFFSET(ASISTENCIA!$E$1,MATCH($G17,ASISTENCIA!$E:$E,0)-1,MATCH(BU$1,ASISTENCIA!$3:$3,0)-5,1,1)</f>
        <v>919526320</v>
      </c>
      <c r="BV17" s="209" t="str">
        <f>OFFSET(ASISTENCIA!$E$1,MATCH($G17,ASISTENCIA!$E:$E,0)-1,MATCH(BV$1,ASISTENCIA!$3:$3,0)-5,1,1)</f>
        <v/>
      </c>
      <c r="BW17" s="165"/>
      <c r="BX17" s="179">
        <f>IFERROR(__xludf.DUMMYFUNCTION("""COMPUTED_VALUE"""),3.5814285714285714)</f>
        <v>3.581428571</v>
      </c>
      <c r="BY17" s="201" t="str">
        <f>IFERROR(__xludf.DUMMYFUNCTION("""COMPUTED_VALUE"""),"REGULARES")</f>
        <v>REGULARES</v>
      </c>
    </row>
    <row r="18" ht="18.0" customHeight="1">
      <c r="A18" s="123">
        <f t="shared" si="22"/>
        <v>15</v>
      </c>
      <c r="B18" s="127" t="str">
        <f>IFERROR(__xludf.DUMMYFUNCTION("""COMPUTED_VALUE"""),"ANTIOQUIANOS")</f>
        <v>ANTIOQUIANOS</v>
      </c>
      <c r="C18" s="128" t="str">
        <f>IFERROR(__xludf.DUMMYFUNCTION("""COMPUTED_VALUE"""),"AUDI ESTELA SAHUANAY HUISACAYNA")</f>
        <v>AUDI ESTELA SAHUANAY HUISACAYNA</v>
      </c>
      <c r="D18" s="128" t="str">
        <f>IFERROR(__xludf.DUMMYFUNCTION("""COMPUTED_VALUE"""),"ESC.LID-0278")</f>
        <v>ESC.LID-0278</v>
      </c>
      <c r="E18" s="127" t="str">
        <f>IFERROR(__xludf.DUMMYFUNCTION("""COMPUTED_VALUE"""),"C11A")</f>
        <v>C11A</v>
      </c>
      <c r="F18" s="127" t="str">
        <f>IFERROR(__xludf.DUMMYFUNCTION("""COMPUTED_VALUE"""),"SAGASTEGUI ORIHUELA, ALAN ALBERTO ")</f>
        <v>SAGASTEGUI ORIHUELA, ALAN ALBERTO </v>
      </c>
      <c r="G18" s="128" t="str">
        <f>IFERROR(__xludf.DUMMYFUNCTION("""COMPUTED_VALUE"""),"46373531")</f>
        <v>46373531</v>
      </c>
      <c r="H18" s="128" t="str">
        <f>IFERROR(__xludf.DUMMYFUNCTION("""COMPUTED_VALUE"""),"922103512")</f>
        <v>922103512</v>
      </c>
      <c r="I18" s="129">
        <f>IFERROR(__xludf.DUMMYFUNCTION("""COMPUTED_VALUE"""),33047.0)</f>
        <v>33047</v>
      </c>
      <c r="J18" s="129">
        <f>DEVO!F19</f>
        <v>33047</v>
      </c>
      <c r="K18" s="129">
        <f t="shared" si="1"/>
        <v>33047</v>
      </c>
      <c r="L18" s="131">
        <f>IF(TODAY()&gt;=$O$1-6,SUM(OFFSET(ASISTENCIA!$E$1,MATCH($G18,ASISTENCIA!$E:$E,0)-1,MATCH(L$1,ASISTENCIA!$3:$3,0)-5,1,1)),"")</f>
        <v>1</v>
      </c>
      <c r="M18" s="131" t="str">
        <f>OFFSET(ASISTENCIA!$E$1,MATCH($G18,ASISTENCIA!$E:$E,0)-1,MATCH(M$1,ASISTENCIA!$3:$3,0)-5,1,1)</f>
        <v/>
      </c>
      <c r="N18" s="131">
        <f>OFFSET(ASISTENCIA!$E$1,MATCH($G18,ASISTENCIA!$E:$E,0)-1,MATCH(N$1,ASISTENCIA!$3:$3,0)-5,1,1)</f>
        <v>2</v>
      </c>
      <c r="O18" s="136">
        <f>IF(TODAY()&gt;=$O$1-6,SUM(OFFSET(DEVO!$F$1,MATCH($G18,DEVO!$E:$E,0)-1,MATCH(L$1,DEVO!$1:$1,0)-6,1,7)),"")</f>
        <v>0</v>
      </c>
      <c r="P18" s="131">
        <f>IF(TODAY()&gt;=$S$1-6,SUM(OFFSET(ASISTENCIA!$E$1,MATCH($G18,ASISTENCIA!$E:$E,0)-1,MATCH(P$1,ASISTENCIA!$3:$3,0)-5,1,1)),"")</f>
        <v>1</v>
      </c>
      <c r="Q18" s="131" t="str">
        <f>OFFSET(ASISTENCIA!$E$1,MATCH($G18,ASISTENCIA!$E:$E,0)-1,MATCH(Q$1,ASISTENCIA!$3:$3,0)-5,1,1)</f>
        <v/>
      </c>
      <c r="R18" s="131" t="str">
        <f>OFFSET(ASISTENCIA!$E$1,MATCH($G18,ASISTENCIA!$E:$E,0)-1,MATCH(R$1,ASISTENCIA!$3:$3,0)-5,1,1)</f>
        <v/>
      </c>
      <c r="S18" s="136">
        <f>IF(TODAY()&gt;=$S$1-6,SUM(OFFSET(DEVO!$F$1,MATCH($G18,DEVO!$E:$E,0)-1,MATCH(P$1,DEVO!$1:$1,0)-6,1,7)),"")</f>
        <v>0</v>
      </c>
      <c r="T18" s="131">
        <f>IF(TODAY()&gt;=$W$1-6,SUM(OFFSET(ASISTENCIA!$E$1,MATCH($G18,ASISTENCIA!$E:$E,0)-1,MATCH(T$1,ASISTENCIA!$3:$3,0)-5,1,1)),"")</f>
        <v>1</v>
      </c>
      <c r="U18" s="131" t="str">
        <f>OFFSET(ASISTENCIA!$E$1,MATCH($G18,ASISTENCIA!$E:$E,0)-1,MATCH(U$1,ASISTENCIA!$3:$3,0)-5,1,1)</f>
        <v/>
      </c>
      <c r="V18" s="131" t="str">
        <f>OFFSET(ASISTENCIA!$E$1,MATCH($G18,ASISTENCIA!$E:$E,0)-1,MATCH(V$1,ASISTENCIA!$3:$3,0)-5,1,1)</f>
        <v/>
      </c>
      <c r="W18" s="136">
        <f>IF(TODAY()&gt;=$W$1-6,SUM(OFFSET(DEVO!$F$1,MATCH($G18,DEVO!$E:$E,0)-1,MATCH(T$1,DEVO!$1:$1,0)-6,1,7)),"")</f>
        <v>0</v>
      </c>
      <c r="X18" s="131">
        <f>IF(TODAY()&gt;=$AA$1-6,SUM(OFFSET(ASISTENCIA!$E$1,MATCH($G18,ASISTENCIA!$E:$E,0)-1,MATCH(X$1,ASISTENCIA!$3:$3,0)-5,1,1)),"")</f>
        <v>1</v>
      </c>
      <c r="Y18" s="131" t="str">
        <f>OFFSET(ASISTENCIA!$E$1,MATCH($G18,ASISTENCIA!$E:$E,0)-1,MATCH(Y$1,ASISTENCIA!$3:$3,0)-5,1,1)</f>
        <v/>
      </c>
      <c r="Z18" s="131" t="str">
        <f>OFFSET(ASISTENCIA!$E$1,MATCH($G18,ASISTENCIA!$E:$E,0)-1,MATCH(Z$1,ASISTENCIA!$3:$3,0)-5,1,1)</f>
        <v/>
      </c>
      <c r="AA18" s="136">
        <f>IF(TODAY()&gt;=$AA$1-6,SUM(OFFSET(DEVO!$F$1,MATCH($G18,DEVO!$E:$E,0)-1,MATCH(X$1,DEVO!$1:$1,0)-6,1,7)),"")</f>
        <v>0</v>
      </c>
      <c r="AB18" s="131">
        <f>IF(TODAY()&gt;=$AE$1-6,SUM(OFFSET(ASISTENCIA!$E$1,MATCH($G18,ASISTENCIA!$E:$E,0)-1,MATCH(AB$1,ASISTENCIA!$3:$3,0)-5,1,1)),"")</f>
        <v>1</v>
      </c>
      <c r="AC18" s="131" t="str">
        <f>OFFSET(ASISTENCIA!$E$1,MATCH($G18,ASISTENCIA!$E:$E,0)-1,MATCH(AC$1,ASISTENCIA!$3:$3,0)-5,1,1)</f>
        <v/>
      </c>
      <c r="AD18" s="131" t="str">
        <f>OFFSET(ASISTENCIA!$E$1,MATCH($G18,ASISTENCIA!$E:$E,0)-1,MATCH(AD$1,ASISTENCIA!$3:$3,0)-5,1,1)</f>
        <v/>
      </c>
      <c r="AE18" s="136">
        <f>IF(TODAY()&gt;=$AE$1-6,SUM(OFFSET(DEVO!$F$1,MATCH($G18,DEVO!$E:$E,0)-1,MATCH(AB$1,DEVO!$1:$1,0)-6,1,7)),"")</f>
        <v>0</v>
      </c>
      <c r="AF18" s="131">
        <f>IF(TODAY()&gt;=$AI$1-6,SUM(OFFSET(ASISTENCIA!$E$1,MATCH($G18,ASISTENCIA!$E:$E,0)-1,MATCH(AF$1,ASISTENCIA!$3:$3,0)-5,1,1)),"")</f>
        <v>1</v>
      </c>
      <c r="AG18" s="131" t="str">
        <f>OFFSET(ASISTENCIA!$E$1,MATCH($G18,ASISTENCIA!$E:$E,0)-1,MATCH(AG$1,ASISTENCIA!$3:$3,0)-5,1,1)</f>
        <v/>
      </c>
      <c r="AH18" s="131" t="str">
        <f>OFFSET(ASISTENCIA!$E$1,MATCH($G18,ASISTENCIA!$E:$E,0)-1,MATCH(AH$1,ASISTENCIA!$3:$3,0)-5,1,1)</f>
        <v/>
      </c>
      <c r="AI18" s="136">
        <f>IF(TODAY()&gt;=$AI$1-6,SUM(OFFSET(DEVO!$F$1,MATCH($G18,DEVO!$E:$E,0)-1,MATCH(AF$1,DEVO!$1:$1,0)-6,1,7)),"")</f>
        <v>0</v>
      </c>
      <c r="AJ18" s="131">
        <f>IF(TODAY()&gt;=$AM$1-6,SUM(OFFSET(ASISTENCIA!$E$1,MATCH($G18,ASISTENCIA!$E:$E,0)-1,MATCH(AJ$1,ASISTENCIA!$3:$3,0)-5,1,1)),"")</f>
        <v>1</v>
      </c>
      <c r="AK18" s="131" t="str">
        <f>OFFSET(ASISTENCIA!$E$1,MATCH($G18,ASISTENCIA!$E:$E,0)-1,MATCH(AK$1,ASISTENCIA!$3:$3,0)-5,1,1)</f>
        <v/>
      </c>
      <c r="AL18" s="131" t="str">
        <f>OFFSET(ASISTENCIA!$E$1,MATCH($G18,ASISTENCIA!$E:$E,0)-1,MATCH(AL$1,ASISTENCIA!$3:$3,0)-5,1,1)</f>
        <v/>
      </c>
      <c r="AM18" s="136">
        <f>IF(TODAY()&gt;=$AM$1-6,SUM(OFFSET(DEVO!$F$1,MATCH($G18,DEVO!$E:$E,0)-1,MATCH(AJ$1,DEVO!$1:$1,0)-6,1,7)),"")</f>
        <v>0</v>
      </c>
      <c r="AN18" s="131">
        <f>IF(TODAY()&gt;=$AQ$1-6,SUM(OFFSET(ASISTENCIA!$E$1,MATCH($G18,ASISTENCIA!$E:$E,0)-1,MATCH(AN$1,ASISTENCIA!$3:$3,0)-5,1,1)),"")</f>
        <v>1</v>
      </c>
      <c r="AO18" s="131" t="str">
        <f>OFFSET(ASISTENCIA!$E$1,MATCH($G18,ASISTENCIA!$E:$E,0)-1,MATCH(AO$1,ASISTENCIA!$3:$3,0)-5,1,1)</f>
        <v/>
      </c>
      <c r="AP18" s="131" t="str">
        <f>OFFSET(ASISTENCIA!$E$1,MATCH($G18,ASISTENCIA!$E:$E,0)-1,MATCH(AP$1,ASISTENCIA!$3:$3,0)-5,1,1)</f>
        <v/>
      </c>
      <c r="AQ18" s="136">
        <f>IF(TODAY()&gt;=$AQ$1-6,SUM(OFFSET(DEVO!$F$1,MATCH($G18,DEVO!$E:$E,0)-1,MATCH(AN$1,DEVO!$1:$1,0)-6,1,7)),"")</f>
        <v>0</v>
      </c>
      <c r="AR18" s="131">
        <f>IF(TODAY()&gt;=$AU$1-6,SUM(OFFSET(ASISTENCIA!$E$1,MATCH($G18,ASISTENCIA!$E:$E,0)-1,MATCH(AR$1,ASISTENCIA!$3:$3,0)-5,1,1)),"")</f>
        <v>3</v>
      </c>
      <c r="AS18" s="131" t="str">
        <f>OFFSET(ASISTENCIA!$E$1,MATCH($G18,ASISTENCIA!$E:$E,0)-1,MATCH(AS$1,ASISTENCIA!$3:$3,0)-5,1,1)</f>
        <v/>
      </c>
      <c r="AT18" s="131" t="str">
        <f>OFFSET(ASISTENCIA!$E$1,MATCH($G18,ASISTENCIA!$E:$E,0)-1,MATCH(AT$1,ASISTENCIA!$3:$3,0)-5,1,1)</f>
        <v/>
      </c>
      <c r="AU18" s="136">
        <f>IF(TODAY()&gt;=$AU$1-6,SUM(OFFSET(DEVO!$F$1,MATCH($G18,DEVO!$E:$E,0)-1,MATCH(AR$1,DEVO!$1:$1,0)-6,1,7)),"")</f>
        <v>0</v>
      </c>
      <c r="AV18" s="131">
        <f>OFFSET(ASISTENCIA!$E$1,MATCH($G18,ASISTENCIA!$E:$E,0)-1,MATCH(AV$1,ASISTENCIA!$3:$3,0)-5,1,1)</f>
        <v>13</v>
      </c>
      <c r="AW18" s="131">
        <f>OFFSET(ASISTENCIA!$E$1,MATCH($G18,ASISTENCIA!$E:$E,0)-1,MATCH(AW$1,ASISTENCIA!$3:$3,0)-5,1,1)</f>
        <v>16</v>
      </c>
      <c r="AY18" s="173">
        <f t="shared" si="2"/>
        <v>1</v>
      </c>
      <c r="AZ18" s="174">
        <f t="shared" si="3"/>
        <v>1</v>
      </c>
      <c r="BA18" s="174">
        <f t="shared" si="4"/>
        <v>1</v>
      </c>
      <c r="BB18" s="174">
        <f t="shared" si="5"/>
        <v>1</v>
      </c>
      <c r="BC18" s="174">
        <f t="shared" si="6"/>
        <v>1</v>
      </c>
      <c r="BD18" s="174">
        <f t="shared" si="7"/>
        <v>1</v>
      </c>
      <c r="BE18" s="174">
        <f t="shared" si="8"/>
        <v>1</v>
      </c>
      <c r="BF18" s="174">
        <f t="shared" si="9"/>
        <v>1</v>
      </c>
      <c r="BG18" s="174">
        <f t="shared" si="10"/>
        <v>1</v>
      </c>
      <c r="BH18" s="152">
        <f t="shared" si="11"/>
        <v>10</v>
      </c>
      <c r="BI18" s="153" t="str">
        <f t="shared" si="12"/>
        <v>EXCELENTES</v>
      </c>
      <c r="BJ18" s="175" t="str">
        <f t="shared" si="13"/>
        <v>OBSERVADOS</v>
      </c>
      <c r="BK18" s="176" t="str">
        <f t="shared" si="14"/>
        <v>OBSERVADOS</v>
      </c>
      <c r="BL18" s="176" t="str">
        <f t="shared" si="15"/>
        <v>OBSERVADOS</v>
      </c>
      <c r="BM18" s="176" t="str">
        <f t="shared" si="16"/>
        <v>OBSERVADOS</v>
      </c>
      <c r="BN18" s="176" t="str">
        <f t="shared" si="17"/>
        <v>OBSERVADOS</v>
      </c>
      <c r="BO18" s="176" t="str">
        <f t="shared" si="18"/>
        <v>OBSERVADOS</v>
      </c>
      <c r="BP18" s="176" t="str">
        <f t="shared" si="19"/>
        <v>OBSERVADOS</v>
      </c>
      <c r="BQ18" s="176" t="str">
        <f t="shared" si="20"/>
        <v>OBSERVADOS</v>
      </c>
      <c r="BR18" s="176" t="str">
        <f t="shared" si="21"/>
        <v>OBSERVADOS</v>
      </c>
      <c r="BS18" s="207" t="str">
        <f>OFFSET(ASISTENCIA!$E$1,MATCH($G18,ASISTENCIA!$E:$E,0)-1,MATCH(BS$1,ASISTENCIA!$3:$3,0)-5,1,1)</f>
        <v/>
      </c>
      <c r="BT18" s="208" t="str">
        <f>OFFSET(ASISTENCIA!$E$1,MATCH($G18,ASISTENCIA!$E:$E,0)-1,MATCH(BT$1,ASISTENCIA!$3:$3,0)-5,1,1)</f>
        <v>Juan Vasquez </v>
      </c>
      <c r="BU18" s="209" t="str">
        <f>OFFSET(ASISTENCIA!$E$1,MATCH($G18,ASISTENCIA!$E:$E,0)-1,MATCH(BU$1,ASISTENCIA!$3:$3,0)-5,1,1)</f>
        <v>991047608</v>
      </c>
      <c r="BV18" s="209" t="str">
        <f>OFFSET(ASISTENCIA!$E$1,MATCH($G18,ASISTENCIA!$E:$E,0)-1,MATCH(BV$1,ASISTENCIA!$3:$3,0)-5,1,1)</f>
        <v/>
      </c>
      <c r="BW18" s="165"/>
      <c r="BX18" s="179">
        <f>IFERROR(__xludf.DUMMYFUNCTION("""COMPUTED_VALUE"""),6.428571428571429)</f>
        <v>6.428571429</v>
      </c>
      <c r="BY18" s="201" t="str">
        <f>IFERROR(__xludf.DUMMYFUNCTION("""COMPUTED_VALUE"""),"REGULARES")</f>
        <v>REGULARES</v>
      </c>
    </row>
    <row r="19" ht="18.0" customHeight="1">
      <c r="A19" s="123">
        <f t="shared" si="22"/>
        <v>16</v>
      </c>
      <c r="B19" s="127" t="str">
        <f>IFERROR(__xludf.DUMMYFUNCTION("""COMPUTED_VALUE"""),"ANTIOQUIANOS")</f>
        <v>ANTIOQUIANOS</v>
      </c>
      <c r="C19" s="128" t="str">
        <f>IFERROR(__xludf.DUMMYFUNCTION("""COMPUTED_VALUE"""),"AUDI ESTELA SAHUANAY HUISACAYNA")</f>
        <v>AUDI ESTELA SAHUANAY HUISACAYNA</v>
      </c>
      <c r="D19" s="128" t="str">
        <f>IFERROR(__xludf.DUMMYFUNCTION("""COMPUTED_VALUE"""),"ESC.LID-0283")</f>
        <v>ESC.LID-0283</v>
      </c>
      <c r="E19" s="127" t="str">
        <f>IFERROR(__xludf.DUMMYFUNCTION("""COMPUTED_VALUE"""),"C11A")</f>
        <v>C11A</v>
      </c>
      <c r="F19" s="127" t="str">
        <f>IFERROR(__xludf.DUMMYFUNCTION("""COMPUTED_VALUE"""),"SULCA RODRIGUEZ, DIEGO ARMANDO")</f>
        <v>SULCA RODRIGUEZ, DIEGO ARMANDO</v>
      </c>
      <c r="G19" s="128" t="str">
        <f>IFERROR(__xludf.DUMMYFUNCTION("""COMPUTED_VALUE"""),"46258796")</f>
        <v>46258796</v>
      </c>
      <c r="H19" s="128" t="str">
        <f>IFERROR(__xludf.DUMMYFUNCTION("""COMPUTED_VALUE"""),"984250384")</f>
        <v>984250384</v>
      </c>
      <c r="I19" s="129">
        <f>IFERROR(__xludf.DUMMYFUNCTION("""COMPUTED_VALUE"""),32907.0)</f>
        <v>32907</v>
      </c>
      <c r="J19" s="129">
        <f>DEVO!F20</f>
        <v>32907</v>
      </c>
      <c r="K19" s="129">
        <f t="shared" si="1"/>
        <v>32907</v>
      </c>
      <c r="L19" s="131">
        <f>IF(TODAY()&gt;=$O$1-6,SUM(OFFSET(ASISTENCIA!$E$1,MATCH($G19,ASISTENCIA!$E:$E,0)-1,MATCH(L$1,ASISTENCIA!$3:$3,0)-5,1,1)),"")</f>
        <v>1</v>
      </c>
      <c r="M19" s="131" t="str">
        <f>OFFSET(ASISTENCIA!$E$1,MATCH($G19,ASISTENCIA!$E:$E,0)-1,MATCH(M$1,ASISTENCIA!$3:$3,0)-5,1,1)</f>
        <v/>
      </c>
      <c r="N19" s="131">
        <f>OFFSET(ASISTENCIA!$E$1,MATCH($G19,ASISTENCIA!$E:$E,0)-1,MATCH(N$1,ASISTENCIA!$3:$3,0)-5,1,1)</f>
        <v>2</v>
      </c>
      <c r="O19" s="136">
        <f>IF(TODAY()&gt;=$O$1-6,SUM(OFFSET(DEVO!$F$1,MATCH($G19,DEVO!$E:$E,0)-1,MATCH(L$1,DEVO!$1:$1,0)-6,1,7)),"")</f>
        <v>0</v>
      </c>
      <c r="P19" s="131">
        <f>IF(TODAY()&gt;=$S$1-6,SUM(OFFSET(ASISTENCIA!$E$1,MATCH($G19,ASISTENCIA!$E:$E,0)-1,MATCH(P$1,ASISTENCIA!$3:$3,0)-5,1,1)),"")</f>
        <v>0</v>
      </c>
      <c r="Q19" s="131" t="str">
        <f>OFFSET(ASISTENCIA!$E$1,MATCH($G19,ASISTENCIA!$E:$E,0)-1,MATCH(Q$1,ASISTENCIA!$3:$3,0)-5,1,1)</f>
        <v/>
      </c>
      <c r="R19" s="131">
        <f>OFFSET(ASISTENCIA!$E$1,MATCH($G19,ASISTENCIA!$E:$E,0)-1,MATCH(R$1,ASISTENCIA!$3:$3,0)-5,1,1)</f>
        <v>1</v>
      </c>
      <c r="S19" s="136">
        <f>IF(TODAY()&gt;=$S$1-6,SUM(OFFSET(DEVO!$F$1,MATCH($G19,DEVO!$E:$E,0)-1,MATCH(P$1,DEVO!$1:$1,0)-6,1,7)),"")</f>
        <v>0</v>
      </c>
      <c r="T19" s="131">
        <f>IF(TODAY()&gt;=$W$1-6,SUM(OFFSET(ASISTENCIA!$E$1,MATCH($G19,ASISTENCIA!$E:$E,0)-1,MATCH(T$1,ASISTENCIA!$3:$3,0)-5,1,1)),"")</f>
        <v>0</v>
      </c>
      <c r="U19" s="131" t="str">
        <f>OFFSET(ASISTENCIA!$E$1,MATCH($G19,ASISTENCIA!$E:$E,0)-1,MATCH(U$1,ASISTENCIA!$3:$3,0)-5,1,1)</f>
        <v/>
      </c>
      <c r="V19" s="131">
        <f>OFFSET(ASISTENCIA!$E$1,MATCH($G19,ASISTENCIA!$E:$E,0)-1,MATCH(V$1,ASISTENCIA!$3:$3,0)-5,1,1)</f>
        <v>1</v>
      </c>
      <c r="W19" s="136">
        <f>IF(TODAY()&gt;=$W$1-6,SUM(OFFSET(DEVO!$F$1,MATCH($G19,DEVO!$E:$E,0)-1,MATCH(T$1,DEVO!$1:$1,0)-6,1,7)),"")</f>
        <v>0</v>
      </c>
      <c r="X19" s="131">
        <f>IF(TODAY()&gt;=$AA$1-6,SUM(OFFSET(ASISTENCIA!$E$1,MATCH($G19,ASISTENCIA!$E:$E,0)-1,MATCH(X$1,ASISTENCIA!$3:$3,0)-5,1,1)),"")</f>
        <v>0</v>
      </c>
      <c r="Y19" s="131" t="str">
        <f>OFFSET(ASISTENCIA!$E$1,MATCH($G19,ASISTENCIA!$E:$E,0)-1,MATCH(Y$1,ASISTENCIA!$3:$3,0)-5,1,1)</f>
        <v/>
      </c>
      <c r="Z19" s="131">
        <f>OFFSET(ASISTENCIA!$E$1,MATCH($G19,ASISTENCIA!$E:$E,0)-1,MATCH(Z$1,ASISTENCIA!$3:$3,0)-5,1,1)</f>
        <v>2</v>
      </c>
      <c r="AA19" s="136">
        <f>IF(TODAY()&gt;=$AA$1-6,SUM(OFFSET(DEVO!$F$1,MATCH($G19,DEVO!$E:$E,0)-1,MATCH(X$1,DEVO!$1:$1,0)-6,1,7)),"")</f>
        <v>0</v>
      </c>
      <c r="AB19" s="131">
        <f>IF(TODAY()&gt;=$AE$1-6,SUM(OFFSET(ASISTENCIA!$E$1,MATCH($G19,ASISTENCIA!$E:$E,0)-1,MATCH(AB$1,ASISTENCIA!$3:$3,0)-5,1,1)),"")</f>
        <v>0</v>
      </c>
      <c r="AC19" s="131" t="str">
        <f>OFFSET(ASISTENCIA!$E$1,MATCH($G19,ASISTENCIA!$E:$E,0)-1,MATCH(AC$1,ASISTENCIA!$3:$3,0)-5,1,1)</f>
        <v/>
      </c>
      <c r="AD19" s="131">
        <f>OFFSET(ASISTENCIA!$E$1,MATCH($G19,ASISTENCIA!$E:$E,0)-1,MATCH(AD$1,ASISTENCIA!$3:$3,0)-5,1,1)</f>
        <v>1</v>
      </c>
      <c r="AE19" s="136">
        <f>IF(TODAY()&gt;=$AE$1-6,SUM(OFFSET(DEVO!$F$1,MATCH($G19,DEVO!$E:$E,0)-1,MATCH(AB$1,DEVO!$1:$1,0)-6,1,7)),"")</f>
        <v>0</v>
      </c>
      <c r="AF19" s="131">
        <f>IF(TODAY()&gt;=$AI$1-6,SUM(OFFSET(ASISTENCIA!$E$1,MATCH($G19,ASISTENCIA!$E:$E,0)-1,MATCH(AF$1,ASISTENCIA!$3:$3,0)-5,1,1)),"")</f>
        <v>0</v>
      </c>
      <c r="AG19" s="131" t="str">
        <f>OFFSET(ASISTENCIA!$E$1,MATCH($G19,ASISTENCIA!$E:$E,0)-1,MATCH(AG$1,ASISTENCIA!$3:$3,0)-5,1,1)</f>
        <v/>
      </c>
      <c r="AH19" s="131">
        <f>OFFSET(ASISTENCIA!$E$1,MATCH($G19,ASISTENCIA!$E:$E,0)-1,MATCH(AH$1,ASISTENCIA!$3:$3,0)-5,1,1)</f>
        <v>1</v>
      </c>
      <c r="AI19" s="136">
        <f>IF(TODAY()&gt;=$AI$1-6,SUM(OFFSET(DEVO!$F$1,MATCH($G19,DEVO!$E:$E,0)-1,MATCH(AF$1,DEVO!$1:$1,0)-6,1,7)),"")</f>
        <v>0</v>
      </c>
      <c r="AJ19" s="131">
        <f>IF(TODAY()&gt;=$AM$1-6,SUM(OFFSET(ASISTENCIA!$E$1,MATCH($G19,ASISTENCIA!$E:$E,0)-1,MATCH(AJ$1,ASISTENCIA!$3:$3,0)-5,1,1)),"")</f>
        <v>0</v>
      </c>
      <c r="AK19" s="131" t="str">
        <f>OFFSET(ASISTENCIA!$E$1,MATCH($G19,ASISTENCIA!$E:$E,0)-1,MATCH(AK$1,ASISTENCIA!$3:$3,0)-5,1,1)</f>
        <v/>
      </c>
      <c r="AL19" s="131">
        <f>OFFSET(ASISTENCIA!$E$1,MATCH($G19,ASISTENCIA!$E:$E,0)-1,MATCH(AL$1,ASISTENCIA!$3:$3,0)-5,1,1)</f>
        <v>1</v>
      </c>
      <c r="AM19" s="136">
        <f>IF(TODAY()&gt;=$AM$1-6,SUM(OFFSET(DEVO!$F$1,MATCH($G19,DEVO!$E:$E,0)-1,MATCH(AJ$1,DEVO!$1:$1,0)-6,1,7)),"")</f>
        <v>0</v>
      </c>
      <c r="AN19" s="131">
        <f>IF(TODAY()&gt;=$AQ$1-6,SUM(OFFSET(ASISTENCIA!$E$1,MATCH($G19,ASISTENCIA!$E:$E,0)-1,MATCH(AN$1,ASISTENCIA!$3:$3,0)-5,1,1)),"")</f>
        <v>0</v>
      </c>
      <c r="AO19" s="131" t="str">
        <f>OFFSET(ASISTENCIA!$E$1,MATCH($G19,ASISTENCIA!$E:$E,0)-1,MATCH(AO$1,ASISTENCIA!$3:$3,0)-5,1,1)</f>
        <v/>
      </c>
      <c r="AP19" s="131">
        <f>OFFSET(ASISTENCIA!$E$1,MATCH($G19,ASISTENCIA!$E:$E,0)-1,MATCH(AP$1,ASISTENCIA!$3:$3,0)-5,1,1)</f>
        <v>1</v>
      </c>
      <c r="AQ19" s="136">
        <f>IF(TODAY()&gt;=$AQ$1-6,SUM(OFFSET(DEVO!$F$1,MATCH($G19,DEVO!$E:$E,0)-1,MATCH(AN$1,DEVO!$1:$1,0)-6,1,7)),"")</f>
        <v>0</v>
      </c>
      <c r="AR19" s="131">
        <f>IF(TODAY()&gt;=$AU$1-6,SUM(OFFSET(ASISTENCIA!$E$1,MATCH($G19,ASISTENCIA!$E:$E,0)-1,MATCH(AR$1,ASISTENCIA!$3:$3,0)-5,1,1)),"")</f>
        <v>0</v>
      </c>
      <c r="AS19" s="131" t="str">
        <f>OFFSET(ASISTENCIA!$E$1,MATCH($G19,ASISTENCIA!$E:$E,0)-1,MATCH(AS$1,ASISTENCIA!$3:$3,0)-5,1,1)</f>
        <v/>
      </c>
      <c r="AT19" s="131" t="str">
        <f>OFFSET(ASISTENCIA!$E$1,MATCH($G19,ASISTENCIA!$E:$E,0)-1,MATCH(AT$1,ASISTENCIA!$3:$3,0)-5,1,1)</f>
        <v/>
      </c>
      <c r="AU19" s="136">
        <f>IF(TODAY()&gt;=$AU$1-6,SUM(OFFSET(DEVO!$F$1,MATCH($G19,DEVO!$E:$E,0)-1,MATCH(AR$1,DEVO!$1:$1,0)-6,1,7)),"")</f>
        <v>0</v>
      </c>
      <c r="AV19" s="131" t="str">
        <f>OFFSET(ASISTENCIA!$E$1,MATCH($G19,ASISTENCIA!$E:$E,0)-1,MATCH(AV$1,ASISTENCIA!$3:$3,0)-5,1,1)</f>
        <v/>
      </c>
      <c r="AW19" s="131" t="str">
        <f>OFFSET(ASISTENCIA!$E$1,MATCH($G19,ASISTENCIA!$E:$E,0)-1,MATCH(AW$1,ASISTENCIA!$3:$3,0)-5,1,1)</f>
        <v/>
      </c>
      <c r="AY19" s="173">
        <f t="shared" si="2"/>
        <v>1</v>
      </c>
      <c r="AZ19" s="174">
        <f t="shared" si="3"/>
        <v>0</v>
      </c>
      <c r="BA19" s="174">
        <f t="shared" si="4"/>
        <v>0</v>
      </c>
      <c r="BB19" s="174">
        <f t="shared" si="5"/>
        <v>0</v>
      </c>
      <c r="BC19" s="174">
        <f t="shared" si="6"/>
        <v>0</v>
      </c>
      <c r="BD19" s="174">
        <f t="shared" si="7"/>
        <v>0</v>
      </c>
      <c r="BE19" s="174">
        <f t="shared" si="8"/>
        <v>0</v>
      </c>
      <c r="BF19" s="174">
        <f t="shared" si="9"/>
        <v>0</v>
      </c>
      <c r="BG19" s="174">
        <f t="shared" si="10"/>
        <v>0</v>
      </c>
      <c r="BH19" s="152">
        <f t="shared" si="11"/>
        <v>1.111111111</v>
      </c>
      <c r="BI19" s="153" t="str">
        <f t="shared" si="12"/>
        <v>OBSERVADOS</v>
      </c>
      <c r="BJ19" s="175" t="str">
        <f t="shared" si="13"/>
        <v>OBSERVADOS</v>
      </c>
      <c r="BK19" s="176" t="str">
        <f t="shared" si="14"/>
        <v>OBSERVADOS</v>
      </c>
      <c r="BL19" s="176" t="str">
        <f t="shared" si="15"/>
        <v>OBSERVADOS</v>
      </c>
      <c r="BM19" s="176" t="str">
        <f t="shared" si="16"/>
        <v>OBSERVADOS</v>
      </c>
      <c r="BN19" s="176" t="str">
        <f t="shared" si="17"/>
        <v>OBSERVADOS</v>
      </c>
      <c r="BO19" s="176" t="str">
        <f t="shared" si="18"/>
        <v>OBSERVADOS</v>
      </c>
      <c r="BP19" s="176" t="str">
        <f t="shared" si="19"/>
        <v>OBSERVADOS</v>
      </c>
      <c r="BQ19" s="176" t="str">
        <f t="shared" si="20"/>
        <v>OBSERVADOS</v>
      </c>
      <c r="BR19" s="176" t="str">
        <f t="shared" si="21"/>
        <v>OBSERVADOS</v>
      </c>
      <c r="BS19" s="207" t="str">
        <f>OFFSET(ASISTENCIA!$E$1,MATCH($G19,ASISTENCIA!$E:$E,0)-1,MATCH(BS$1,ASISTENCIA!$3:$3,0)-5,1,1)</f>
        <v>Se le envía los audios, pero no responde cuando se le pide las clases</v>
      </c>
      <c r="BT19" s="208" t="str">
        <f>OFFSET(ASISTENCIA!$E$1,MATCH($G19,ASISTENCIA!$E:$E,0)-1,MATCH(BT$1,ASISTENCIA!$3:$3,0)-5,1,1)</f>
        <v>Jean Franco Vasquez </v>
      </c>
      <c r="BU19" s="209" t="str">
        <f>OFFSET(ASISTENCIA!$E$1,MATCH($G19,ASISTENCIA!$E:$E,0)-1,MATCH(BU$1,ASISTENCIA!$3:$3,0)-5,1,1)</f>
        <v>998172190</v>
      </c>
      <c r="BV19" s="209" t="str">
        <f>OFFSET(ASISTENCIA!$E$1,MATCH($G19,ASISTENCIA!$E:$E,0)-1,MATCH(BV$1,ASISTENCIA!$3:$3,0)-5,1,1)</f>
        <v>SI</v>
      </c>
      <c r="BW19" s="55"/>
      <c r="BX19" s="179">
        <f>IFERROR(__xludf.DUMMYFUNCTION("""COMPUTED_VALUE"""),6.438571428571429)</f>
        <v>6.438571429</v>
      </c>
      <c r="BY19" s="206" t="str">
        <f>IFERROR(__xludf.DUMMYFUNCTION("""COMPUTED_VALUE"""),"BUENO")</f>
        <v>BUENO</v>
      </c>
    </row>
    <row r="20" ht="18.0" customHeight="1">
      <c r="A20" s="123">
        <f t="shared" si="22"/>
        <v>17</v>
      </c>
      <c r="B20" s="127" t="str">
        <f>IFERROR(__xludf.DUMMYFUNCTION("""COMPUTED_VALUE"""),"ANTIOQUIANOS")</f>
        <v>ANTIOQUIANOS</v>
      </c>
      <c r="C20" s="213" t="str">
        <f>IFERROR(__xludf.DUMMYFUNCTION("""COMPUTED_VALUE"""),"AUDI ESTELA SAHUANAY HUISACAYNA")</f>
        <v>AUDI ESTELA SAHUANAY HUISACAYNA</v>
      </c>
      <c r="D20" s="128" t="str">
        <f>IFERROR(__xludf.DUMMYFUNCTION("""COMPUTED_VALUE"""),"ESC.LID-1450")</f>
        <v>ESC.LID-1450</v>
      </c>
      <c r="E20" s="127" t="str">
        <f>IFERROR(__xludf.DUMMYFUNCTION("""COMPUTED_VALUE"""),"C113")</f>
        <v>C113</v>
      </c>
      <c r="F20" s="127" t="str">
        <f>IFERROR(__xludf.DUMMYFUNCTION("""COMPUTED_VALUE"""),"JORIS ONSIA, MAARTEN")</f>
        <v>JORIS ONSIA, MAARTEN</v>
      </c>
      <c r="G20" s="128" t="str">
        <f>IFERROR(__xludf.DUMMYFUNCTION("""COMPUTED_VALUE"""),"04045579")</f>
        <v>04045579</v>
      </c>
      <c r="H20" s="128" t="str">
        <f>IFERROR(__xludf.DUMMYFUNCTION("""COMPUTED_VALUE"""),"935603472")</f>
        <v>935603472</v>
      </c>
      <c r="I20" s="129"/>
      <c r="J20" s="129">
        <f>DEVO!F21</f>
        <v>30092</v>
      </c>
      <c r="K20" s="129">
        <f t="shared" si="1"/>
        <v>30092</v>
      </c>
      <c r="L20" s="131">
        <f>IF(TODAY()&gt;=$O$1-6,SUM(OFFSET(ASISTENCIA!$E$1,MATCH($G20,ASISTENCIA!$E:$E,0)-1,MATCH(L$1,ASISTENCIA!$3:$3,0)-5,1,1)),"")</f>
        <v>0</v>
      </c>
      <c r="M20" s="131" t="str">
        <f>OFFSET(ASISTENCIA!$E$1,MATCH($G20,ASISTENCIA!$E:$E,0)-1,MATCH(M$1,ASISTENCIA!$3:$3,0)-5,1,1)</f>
        <v/>
      </c>
      <c r="N20" s="131" t="str">
        <f>OFFSET(ASISTENCIA!$E$1,MATCH($G20,ASISTENCIA!$E:$E,0)-1,MATCH(N$1,ASISTENCIA!$3:$3,0)-5,1,1)</f>
        <v/>
      </c>
      <c r="O20" s="136">
        <f>IF(TODAY()&gt;=$O$1-6,SUM(OFFSET(DEVO!$F$1,MATCH($G20,DEVO!$E:$E,0)-1,MATCH(L$1,DEVO!$1:$1,0)-6,1,7)),"")</f>
        <v>0</v>
      </c>
      <c r="P20" s="131">
        <f>IF(TODAY()&gt;=$S$1-6,SUM(OFFSET(ASISTENCIA!$E$1,MATCH($G20,ASISTENCIA!$E:$E,0)-1,MATCH(P$1,ASISTENCIA!$3:$3,0)-5,1,1)),"")</f>
        <v>1</v>
      </c>
      <c r="Q20" s="131" t="str">
        <f>OFFSET(ASISTENCIA!$E$1,MATCH($G20,ASISTENCIA!$E:$E,0)-1,MATCH(Q$1,ASISTENCIA!$3:$3,0)-5,1,1)</f>
        <v/>
      </c>
      <c r="R20" s="131" t="str">
        <f>OFFSET(ASISTENCIA!$E$1,MATCH($G20,ASISTENCIA!$E:$E,0)-1,MATCH(R$1,ASISTENCIA!$3:$3,0)-5,1,1)</f>
        <v/>
      </c>
      <c r="S20" s="136">
        <f>IF(TODAY()&gt;=$S$1-6,SUM(OFFSET(DEVO!$F$1,MATCH($G20,DEVO!$E:$E,0)-1,MATCH(P$1,DEVO!$1:$1,0)-6,1,7)),"")</f>
        <v>0</v>
      </c>
      <c r="T20" s="131">
        <f>IF(TODAY()&gt;=$W$1-6,SUM(OFFSET(ASISTENCIA!$E$1,MATCH($G20,ASISTENCIA!$E:$E,0)-1,MATCH(T$1,ASISTENCIA!$3:$3,0)-5,1,1)),"")</f>
        <v>1</v>
      </c>
      <c r="U20" s="131" t="str">
        <f>OFFSET(ASISTENCIA!$E$1,MATCH($G20,ASISTENCIA!$E:$E,0)-1,MATCH(U$1,ASISTENCIA!$3:$3,0)-5,1,1)</f>
        <v/>
      </c>
      <c r="V20" s="131" t="str">
        <f>OFFSET(ASISTENCIA!$E$1,MATCH($G20,ASISTENCIA!$E:$E,0)-1,MATCH(V$1,ASISTENCIA!$3:$3,0)-5,1,1)</f>
        <v/>
      </c>
      <c r="W20" s="136">
        <f>IF(TODAY()&gt;=$W$1-6,SUM(OFFSET(DEVO!$F$1,MATCH($G20,DEVO!$E:$E,0)-1,MATCH(T$1,DEVO!$1:$1,0)-6,1,7)),"")</f>
        <v>3</v>
      </c>
      <c r="X20" s="131">
        <f>IF(TODAY()&gt;=$AA$1-6,SUM(OFFSET(ASISTENCIA!$E$1,MATCH($G20,ASISTENCIA!$E:$E,0)-1,MATCH(X$1,ASISTENCIA!$3:$3,0)-5,1,1)),"")</f>
        <v>2</v>
      </c>
      <c r="Y20" s="131">
        <f>OFFSET(ASISTENCIA!$E$1,MATCH($G20,ASISTENCIA!$E:$E,0)-1,MATCH(Y$1,ASISTENCIA!$3:$3,0)-5,1,1)</f>
        <v>5</v>
      </c>
      <c r="Z20" s="131" t="str">
        <f>OFFSET(ASISTENCIA!$E$1,MATCH($G20,ASISTENCIA!$E:$E,0)-1,MATCH(Z$1,ASISTENCIA!$3:$3,0)-5,1,1)</f>
        <v/>
      </c>
      <c r="AA20" s="136">
        <f>IF(TODAY()&gt;=$AA$1-6,SUM(OFFSET(DEVO!$F$1,MATCH($G20,DEVO!$E:$E,0)-1,MATCH(X$1,DEVO!$1:$1,0)-6,1,7)),"")</f>
        <v>7</v>
      </c>
      <c r="AB20" s="131">
        <f>IF(TODAY()&gt;=$AE$1-6,SUM(OFFSET(ASISTENCIA!$E$1,MATCH($G20,ASISTENCIA!$E:$E,0)-1,MATCH(AB$1,ASISTENCIA!$3:$3,0)-5,1,1)),"")</f>
        <v>3</v>
      </c>
      <c r="AC20" s="131" t="str">
        <f>OFFSET(ASISTENCIA!$E$1,MATCH($G20,ASISTENCIA!$E:$E,0)-1,MATCH(AC$1,ASISTENCIA!$3:$3,0)-5,1,1)</f>
        <v/>
      </c>
      <c r="AD20" s="131" t="str">
        <f>OFFSET(ASISTENCIA!$E$1,MATCH($G20,ASISTENCIA!$E:$E,0)-1,MATCH(AD$1,ASISTENCIA!$3:$3,0)-5,1,1)</f>
        <v/>
      </c>
      <c r="AE20" s="136">
        <f>IF(TODAY()&gt;=$AE$1-6,SUM(OFFSET(DEVO!$F$1,MATCH($G20,DEVO!$E:$E,0)-1,MATCH(AB$1,DEVO!$1:$1,0)-6,1,7)),"")</f>
        <v>7</v>
      </c>
      <c r="AF20" s="131">
        <f>IF(TODAY()&gt;=$AI$1-6,SUM(OFFSET(ASISTENCIA!$E$1,MATCH($G20,ASISTENCIA!$E:$E,0)-1,MATCH(AF$1,ASISTENCIA!$3:$3,0)-5,1,1)),"")</f>
        <v>1</v>
      </c>
      <c r="AG20" s="131" t="str">
        <f>OFFSET(ASISTENCIA!$E$1,MATCH($G20,ASISTENCIA!$E:$E,0)-1,MATCH(AG$1,ASISTENCIA!$3:$3,0)-5,1,1)</f>
        <v/>
      </c>
      <c r="AH20" s="131" t="str">
        <f>OFFSET(ASISTENCIA!$E$1,MATCH($G20,ASISTENCIA!$E:$E,0)-1,MATCH(AH$1,ASISTENCIA!$3:$3,0)-5,1,1)</f>
        <v/>
      </c>
      <c r="AI20" s="136">
        <f>IF(TODAY()&gt;=$AI$1-6,SUM(OFFSET(DEVO!$F$1,MATCH($G20,DEVO!$E:$E,0)-1,MATCH(AF$1,DEVO!$1:$1,0)-6,1,7)),"")</f>
        <v>7</v>
      </c>
      <c r="AJ20" s="131">
        <f>IF(TODAY()&gt;=$AM$1-6,SUM(OFFSET(ASISTENCIA!$E$1,MATCH($G20,ASISTENCIA!$E:$E,0)-1,MATCH(AJ$1,ASISTENCIA!$3:$3,0)-5,1,1)),"")</f>
        <v>2</v>
      </c>
      <c r="AK20" s="131" t="str">
        <f>OFFSET(ASISTENCIA!$E$1,MATCH($G20,ASISTENCIA!$E:$E,0)-1,MATCH(AK$1,ASISTENCIA!$3:$3,0)-5,1,1)</f>
        <v/>
      </c>
      <c r="AL20" s="131" t="str">
        <f>OFFSET(ASISTENCIA!$E$1,MATCH($G20,ASISTENCIA!$E:$E,0)-1,MATCH(AL$1,ASISTENCIA!$3:$3,0)-5,1,1)</f>
        <v/>
      </c>
      <c r="AM20" s="136">
        <f>IF(TODAY()&gt;=$AM$1-6,SUM(OFFSET(DEVO!$F$1,MATCH($G20,DEVO!$E:$E,0)-1,MATCH(AJ$1,DEVO!$1:$1,0)-6,1,7)),"")</f>
        <v>7</v>
      </c>
      <c r="AN20" s="131">
        <f>IF(TODAY()&gt;=$AQ$1-6,SUM(OFFSET(ASISTENCIA!$E$1,MATCH($G20,ASISTENCIA!$E:$E,0)-1,MATCH(AN$1,ASISTENCIA!$3:$3,0)-5,1,1)),"")</f>
        <v>3</v>
      </c>
      <c r="AO20" s="131" t="str">
        <f>OFFSET(ASISTENCIA!$E$1,MATCH($G20,ASISTENCIA!$E:$E,0)-1,MATCH(AO$1,ASISTENCIA!$3:$3,0)-5,1,1)</f>
        <v/>
      </c>
      <c r="AP20" s="131" t="str">
        <f>OFFSET(ASISTENCIA!$E$1,MATCH($G20,ASISTENCIA!$E:$E,0)-1,MATCH(AP$1,ASISTENCIA!$3:$3,0)-5,1,1)</f>
        <v/>
      </c>
      <c r="AQ20" s="136">
        <f>IF(TODAY()&gt;=$AQ$1-6,SUM(OFFSET(DEVO!$F$1,MATCH($G20,DEVO!$E:$E,0)-1,MATCH(AN$1,DEVO!$1:$1,0)-6,1,7)),"")</f>
        <v>7</v>
      </c>
      <c r="AR20" s="131">
        <f>IF(TODAY()&gt;=$AU$1-6,SUM(OFFSET(ASISTENCIA!$E$1,MATCH($G20,ASISTENCIA!$E:$E,0)-1,MATCH(AR$1,ASISTENCIA!$3:$3,0)-5,1,1)),"")</f>
        <v>2</v>
      </c>
      <c r="AS20" s="131" t="str">
        <f>OFFSET(ASISTENCIA!$E$1,MATCH($G20,ASISTENCIA!$E:$E,0)-1,MATCH(AS$1,ASISTENCIA!$3:$3,0)-5,1,1)</f>
        <v/>
      </c>
      <c r="AT20" s="131" t="str">
        <f>OFFSET(ASISTENCIA!$E$1,MATCH($G20,ASISTENCIA!$E:$E,0)-1,MATCH(AT$1,ASISTENCIA!$3:$3,0)-5,1,1)</f>
        <v/>
      </c>
      <c r="AU20" s="136">
        <f>IF(TODAY()&gt;=$AU$1-6,SUM(OFFSET(DEVO!$F$1,MATCH($G20,DEVO!$E:$E,0)-1,MATCH(AR$1,DEVO!$1:$1,0)-6,1,7)),"")</f>
        <v>4</v>
      </c>
      <c r="AV20" s="131">
        <f>OFFSET(ASISTENCIA!$E$1,MATCH($G20,ASISTENCIA!$E:$E,0)-1,MATCH(AV$1,ASISTENCIA!$3:$3,0)-5,1,1)</f>
        <v>15</v>
      </c>
      <c r="AW20" s="131">
        <f>OFFSET(ASISTENCIA!$E$1,MATCH($G20,ASISTENCIA!$E:$E,0)-1,MATCH(AW$1,ASISTENCIA!$3:$3,0)-5,1,1)</f>
        <v>20</v>
      </c>
      <c r="AY20" s="173">
        <f t="shared" si="2"/>
        <v>0</v>
      </c>
      <c r="AZ20" s="174">
        <f t="shared" si="3"/>
        <v>1</v>
      </c>
      <c r="BA20" s="174">
        <f t="shared" si="4"/>
        <v>1</v>
      </c>
      <c r="BB20" s="174">
        <f t="shared" si="5"/>
        <v>1</v>
      </c>
      <c r="BC20" s="174">
        <f t="shared" si="6"/>
        <v>1</v>
      </c>
      <c r="BD20" s="174">
        <f t="shared" si="7"/>
        <v>1</v>
      </c>
      <c r="BE20" s="174">
        <f t="shared" si="8"/>
        <v>1</v>
      </c>
      <c r="BF20" s="174">
        <f t="shared" si="9"/>
        <v>1</v>
      </c>
      <c r="BG20" s="174">
        <f t="shared" si="10"/>
        <v>1</v>
      </c>
      <c r="BH20" s="152">
        <f t="shared" si="11"/>
        <v>8.888888889</v>
      </c>
      <c r="BI20" s="153" t="str">
        <f t="shared" si="12"/>
        <v>BUENO</v>
      </c>
      <c r="BJ20" s="175" t="str">
        <f t="shared" si="13"/>
        <v>OBSERVADOS</v>
      </c>
      <c r="BK20" s="176" t="str">
        <f t="shared" si="14"/>
        <v>OBSERVADOS</v>
      </c>
      <c r="BL20" s="176" t="str">
        <f t="shared" si="15"/>
        <v>REGULARES</v>
      </c>
      <c r="BM20" s="176" t="str">
        <f t="shared" si="16"/>
        <v>EXCELENTES</v>
      </c>
      <c r="BN20" s="176" t="str">
        <f t="shared" si="17"/>
        <v>EXCELENTES</v>
      </c>
      <c r="BO20" s="176" t="str">
        <f t="shared" si="18"/>
        <v>EXCELENTES</v>
      </c>
      <c r="BP20" s="176" t="str">
        <f t="shared" si="19"/>
        <v>EXCELENTES</v>
      </c>
      <c r="BQ20" s="176" t="str">
        <f t="shared" si="20"/>
        <v>EXCELENTES</v>
      </c>
      <c r="BR20" s="176" t="str">
        <f t="shared" si="21"/>
        <v>REGULARES</v>
      </c>
      <c r="BS20" s="207" t="str">
        <f>OFFSET(ASISTENCIA!$E$1,MATCH($G20,ASISTENCIA!$E:$E,0)-1,MATCH(BS$1,ASISTENCIA!$3:$3,0)-5,1,1)</f>
        <v/>
      </c>
      <c r="BT20" s="208" t="str">
        <f>OFFSET(ASISTENCIA!$E$1,MATCH($G20,ASISTENCIA!$E:$E,0)-1,MATCH(BT$1,ASISTENCIA!$3:$3,0)-5,1,1)</f>
        <v>William Bonifacio </v>
      </c>
      <c r="BU20" s="209" t="str">
        <f>OFFSET(ASISTENCIA!$E$1,MATCH($G20,ASISTENCIA!$E:$E,0)-1,MATCH(BU$1,ASISTENCIA!$3:$3,0)-5,1,1)</f>
        <v>981070518</v>
      </c>
      <c r="BV20" s="209" t="str">
        <f>OFFSET(ASISTENCIA!$E$1,MATCH($G20,ASISTENCIA!$E:$E,0)-1,MATCH(BV$1,ASISTENCIA!$3:$3,0)-5,1,1)</f>
        <v/>
      </c>
      <c r="BW20" s="55"/>
      <c r="BX20" s="179">
        <f>IFERROR(__xludf.DUMMYFUNCTION("""COMPUTED_VALUE"""),9.285714285714286)</f>
        <v>9.285714286</v>
      </c>
      <c r="BY20" s="206" t="str">
        <f>IFERROR(__xludf.DUMMYFUNCTION("""COMPUTED_VALUE"""),"BUENO")</f>
        <v>BUENO</v>
      </c>
    </row>
    <row r="21" ht="18.0" customHeight="1">
      <c r="A21" s="123">
        <f t="shared" si="22"/>
        <v>18</v>
      </c>
      <c r="B21" s="127" t="str">
        <f>IFERROR(__xludf.DUMMYFUNCTION("""COMPUTED_VALUE"""),"ANTIOQUIANOS")</f>
        <v>ANTIOQUIANOS</v>
      </c>
      <c r="C21" s="128" t="str">
        <f>IFERROR(__xludf.DUMMYFUNCTION("""COMPUTED_VALUE"""),"AUDI ESTELA SAHUANAY HUISACAYNA")</f>
        <v>AUDI ESTELA SAHUANAY HUISACAYNA</v>
      </c>
      <c r="D21" s="128" t="str">
        <f>IFERROR(__xludf.DUMMYFUNCTION("""COMPUTED_VALUE"""),"ESC.LID-1499")</f>
        <v>ESC.LID-1499</v>
      </c>
      <c r="E21" s="127" t="str">
        <f>IFERROR(__xludf.DUMMYFUNCTION("""COMPUTED_VALUE"""),"C2133")</f>
        <v>C2133</v>
      </c>
      <c r="F21" s="127" t="str">
        <f>IFERROR(__xludf.DUMMYFUNCTION("""COMPUTED_VALUE"""),"SANCHEZ PEREZ, PAMELA ISABEL")</f>
        <v>SANCHEZ PEREZ, PAMELA ISABEL</v>
      </c>
      <c r="G21" s="128" t="str">
        <f>IFERROR(__xludf.DUMMYFUNCTION("""COMPUTED_VALUE"""),"72759143")</f>
        <v>72759143</v>
      </c>
      <c r="H21" s="128" t="str">
        <f>IFERROR(__xludf.DUMMYFUNCTION("""COMPUTED_VALUE"""),"993577173")</f>
        <v>993577173</v>
      </c>
      <c r="I21" s="129"/>
      <c r="J21" s="129" t="str">
        <f>DEVO!F22</f>
        <v/>
      </c>
      <c r="K21" s="129" t="str">
        <f t="shared" si="1"/>
        <v/>
      </c>
      <c r="L21" s="131">
        <f>IF(TODAY()&gt;=$O$1-6,SUM(OFFSET(ASISTENCIA!$E$1,MATCH($G21,ASISTENCIA!$E:$E,0)-1,MATCH(L$1,ASISTENCIA!$3:$3,0)-5,1,1)),"")</f>
        <v>1</v>
      </c>
      <c r="M21" s="131" t="str">
        <f>OFFSET(ASISTENCIA!$E$1,MATCH($G21,ASISTENCIA!$E:$E,0)-1,MATCH(M$1,ASISTENCIA!$3:$3,0)-5,1,1)</f>
        <v/>
      </c>
      <c r="N21" s="131" t="str">
        <f>OFFSET(ASISTENCIA!$E$1,MATCH($G21,ASISTENCIA!$E:$E,0)-1,MATCH(N$1,ASISTENCIA!$3:$3,0)-5,1,1)</f>
        <v/>
      </c>
      <c r="O21" s="136">
        <f>IF(TODAY()&gt;=$O$1-6,SUM(OFFSET(DEVO!$F$1,MATCH($G21,DEVO!$E:$E,0)-1,MATCH(L$1,DEVO!$1:$1,0)-6,1,7)),"")</f>
        <v>0</v>
      </c>
      <c r="P21" s="131">
        <f>IF(TODAY()&gt;=$S$1-6,SUM(OFFSET(ASISTENCIA!$E$1,MATCH($G21,ASISTENCIA!$E:$E,0)-1,MATCH(P$1,ASISTENCIA!$3:$3,0)-5,1,1)),"")</f>
        <v>0</v>
      </c>
      <c r="Q21" s="131" t="str">
        <f>OFFSET(ASISTENCIA!$E$1,MATCH($G21,ASISTENCIA!$E:$E,0)-1,MATCH(Q$1,ASISTENCIA!$3:$3,0)-5,1,1)</f>
        <v/>
      </c>
      <c r="R21" s="131" t="str">
        <f>OFFSET(ASISTENCIA!$E$1,MATCH($G21,ASISTENCIA!$E:$E,0)-1,MATCH(R$1,ASISTENCIA!$3:$3,0)-5,1,1)</f>
        <v/>
      </c>
      <c r="S21" s="136">
        <f>IF(TODAY()&gt;=$S$1-6,SUM(OFFSET(DEVO!$F$1,MATCH($G21,DEVO!$E:$E,0)-1,MATCH(P$1,DEVO!$1:$1,0)-6,1,7)),"")</f>
        <v>0</v>
      </c>
      <c r="T21" s="131">
        <f>IF(TODAY()&gt;=$W$1-6,SUM(OFFSET(ASISTENCIA!$E$1,MATCH($G21,ASISTENCIA!$E:$E,0)-1,MATCH(T$1,ASISTENCIA!$3:$3,0)-5,1,1)),"")</f>
        <v>0</v>
      </c>
      <c r="U21" s="131" t="str">
        <f>OFFSET(ASISTENCIA!$E$1,MATCH($G21,ASISTENCIA!$E:$E,0)-1,MATCH(U$1,ASISTENCIA!$3:$3,0)-5,1,1)</f>
        <v/>
      </c>
      <c r="V21" s="131" t="str">
        <f>OFFSET(ASISTENCIA!$E$1,MATCH($G21,ASISTENCIA!$E:$E,0)-1,MATCH(V$1,ASISTENCIA!$3:$3,0)-5,1,1)</f>
        <v/>
      </c>
      <c r="W21" s="136">
        <f>IF(TODAY()&gt;=$W$1-6,SUM(OFFSET(DEVO!$F$1,MATCH($G21,DEVO!$E:$E,0)-1,MATCH(T$1,DEVO!$1:$1,0)-6,1,7)),"")</f>
        <v>0</v>
      </c>
      <c r="X21" s="131">
        <f>IF(TODAY()&gt;=$AA$1-6,SUM(OFFSET(ASISTENCIA!$E$1,MATCH($G21,ASISTENCIA!$E:$E,0)-1,MATCH(X$1,ASISTENCIA!$3:$3,0)-5,1,1)),"")</f>
        <v>4</v>
      </c>
      <c r="Y21" s="131" t="str">
        <f>OFFSET(ASISTENCIA!$E$1,MATCH($G21,ASISTENCIA!$E:$E,0)-1,MATCH(Y$1,ASISTENCIA!$3:$3,0)-5,1,1)</f>
        <v/>
      </c>
      <c r="Z21" s="131" t="str">
        <f>OFFSET(ASISTENCIA!$E$1,MATCH($G21,ASISTENCIA!$E:$E,0)-1,MATCH(Z$1,ASISTENCIA!$3:$3,0)-5,1,1)</f>
        <v/>
      </c>
      <c r="AA21" s="136">
        <f>IF(TODAY()&gt;=$AA$1-6,SUM(OFFSET(DEVO!$F$1,MATCH($G21,DEVO!$E:$E,0)-1,MATCH(X$1,DEVO!$1:$1,0)-6,1,7)),"")</f>
        <v>6</v>
      </c>
      <c r="AB21" s="131">
        <f>IF(TODAY()&gt;=$AE$1-6,SUM(OFFSET(ASISTENCIA!$E$1,MATCH($G21,ASISTENCIA!$E:$E,0)-1,MATCH(AB$1,ASISTENCIA!$3:$3,0)-5,1,1)),"")</f>
        <v>5</v>
      </c>
      <c r="AC21" s="131" t="str">
        <f>OFFSET(ASISTENCIA!$E$1,MATCH($G21,ASISTENCIA!$E:$E,0)-1,MATCH(AC$1,ASISTENCIA!$3:$3,0)-5,1,1)</f>
        <v/>
      </c>
      <c r="AD21" s="131">
        <f>OFFSET(ASISTENCIA!$E$1,MATCH($G21,ASISTENCIA!$E:$E,0)-1,MATCH(AD$1,ASISTENCIA!$3:$3,0)-5,1,1)</f>
        <v>2</v>
      </c>
      <c r="AE21" s="136">
        <f>IF(TODAY()&gt;=$AE$1-6,SUM(OFFSET(DEVO!$F$1,MATCH($G21,DEVO!$E:$E,0)-1,MATCH(AB$1,DEVO!$1:$1,0)-6,1,7)),"")</f>
        <v>0</v>
      </c>
      <c r="AF21" s="131">
        <f>IF(TODAY()&gt;=$AI$1-6,SUM(OFFSET(ASISTENCIA!$E$1,MATCH($G21,ASISTENCIA!$E:$E,0)-1,MATCH(AF$1,ASISTENCIA!$3:$3,0)-5,1,1)),"")</f>
        <v>4</v>
      </c>
      <c r="AG21" s="131" t="str">
        <f>OFFSET(ASISTENCIA!$E$1,MATCH($G21,ASISTENCIA!$E:$E,0)-1,MATCH(AG$1,ASISTENCIA!$3:$3,0)-5,1,1)</f>
        <v/>
      </c>
      <c r="AH21" s="131" t="str">
        <f>OFFSET(ASISTENCIA!$E$1,MATCH($G21,ASISTENCIA!$E:$E,0)-1,MATCH(AH$1,ASISTENCIA!$3:$3,0)-5,1,1)</f>
        <v/>
      </c>
      <c r="AI21" s="136">
        <f>IF(TODAY()&gt;=$AI$1-6,SUM(OFFSET(DEVO!$F$1,MATCH($G21,DEVO!$E:$E,0)-1,MATCH(AF$1,DEVO!$1:$1,0)-6,1,7)),"")</f>
        <v>0</v>
      </c>
      <c r="AJ21" s="131">
        <f>IF(TODAY()&gt;=$AM$1-6,SUM(OFFSET(ASISTENCIA!$E$1,MATCH($G21,ASISTENCIA!$E:$E,0)-1,MATCH(AJ$1,ASISTENCIA!$3:$3,0)-5,1,1)),"")</f>
        <v>1</v>
      </c>
      <c r="AK21" s="131" t="str">
        <f>OFFSET(ASISTENCIA!$E$1,MATCH($G21,ASISTENCIA!$E:$E,0)-1,MATCH(AK$1,ASISTENCIA!$3:$3,0)-5,1,1)</f>
        <v/>
      </c>
      <c r="AL21" s="131" t="str">
        <f>OFFSET(ASISTENCIA!$E$1,MATCH($G21,ASISTENCIA!$E:$E,0)-1,MATCH(AL$1,ASISTENCIA!$3:$3,0)-5,1,1)</f>
        <v/>
      </c>
      <c r="AM21" s="136">
        <f>IF(TODAY()&gt;=$AM$1-6,SUM(OFFSET(DEVO!$F$1,MATCH($G21,DEVO!$E:$E,0)-1,MATCH(AJ$1,DEVO!$1:$1,0)-6,1,7)),"")</f>
        <v>0</v>
      </c>
      <c r="AN21" s="131">
        <f>IF(TODAY()&gt;=$AQ$1-6,SUM(OFFSET(ASISTENCIA!$E$1,MATCH($G21,ASISTENCIA!$E:$E,0)-1,MATCH(AN$1,ASISTENCIA!$3:$3,0)-5,1,1)),"")</f>
        <v>1</v>
      </c>
      <c r="AO21" s="131" t="str">
        <f>OFFSET(ASISTENCIA!$E$1,MATCH($G21,ASISTENCIA!$E:$E,0)-1,MATCH(AO$1,ASISTENCIA!$3:$3,0)-5,1,1)</f>
        <v/>
      </c>
      <c r="AP21" s="131" t="str">
        <f>OFFSET(ASISTENCIA!$E$1,MATCH($G21,ASISTENCIA!$E:$E,0)-1,MATCH(AP$1,ASISTENCIA!$3:$3,0)-5,1,1)</f>
        <v/>
      </c>
      <c r="AQ21" s="136">
        <f>IF(TODAY()&gt;=$AQ$1-6,SUM(OFFSET(DEVO!$F$1,MATCH($G21,DEVO!$E:$E,0)-1,MATCH(AN$1,DEVO!$1:$1,0)-6,1,7)),"")</f>
        <v>0</v>
      </c>
      <c r="AR21" s="131">
        <f>IF(TODAY()&gt;=$AU$1-6,SUM(OFFSET(ASISTENCIA!$E$1,MATCH($G21,ASISTENCIA!$E:$E,0)-1,MATCH(AR$1,ASISTENCIA!$3:$3,0)-5,1,1)),"")</f>
        <v>1</v>
      </c>
      <c r="AS21" s="131" t="str">
        <f>OFFSET(ASISTENCIA!$E$1,MATCH($G21,ASISTENCIA!$E:$E,0)-1,MATCH(AS$1,ASISTENCIA!$3:$3,0)-5,1,1)</f>
        <v/>
      </c>
      <c r="AT21" s="131" t="str">
        <f>OFFSET(ASISTENCIA!$E$1,MATCH($G21,ASISTENCIA!$E:$E,0)-1,MATCH(AT$1,ASISTENCIA!$3:$3,0)-5,1,1)</f>
        <v/>
      </c>
      <c r="AU21" s="136">
        <f>IF(TODAY()&gt;=$AU$1-6,SUM(OFFSET(DEVO!$F$1,MATCH($G21,DEVO!$E:$E,0)-1,MATCH(AR$1,DEVO!$1:$1,0)-6,1,7)),"")</f>
        <v>0</v>
      </c>
      <c r="AV21" s="131">
        <f>OFFSET(ASISTENCIA!$E$1,MATCH($G21,ASISTENCIA!$E:$E,0)-1,MATCH(AV$1,ASISTENCIA!$3:$3,0)-5,1,1)</f>
        <v>13</v>
      </c>
      <c r="AW21" s="131">
        <f>OFFSET(ASISTENCIA!$E$1,MATCH($G21,ASISTENCIA!$E:$E,0)-1,MATCH(AW$1,ASISTENCIA!$3:$3,0)-5,1,1)</f>
        <v>20</v>
      </c>
      <c r="AY21" s="173">
        <f t="shared" si="2"/>
        <v>1</v>
      </c>
      <c r="AZ21" s="174">
        <f t="shared" si="3"/>
        <v>0</v>
      </c>
      <c r="BA21" s="174">
        <f t="shared" si="4"/>
        <v>0</v>
      </c>
      <c r="BB21" s="174">
        <f t="shared" si="5"/>
        <v>1</v>
      </c>
      <c r="BC21" s="174">
        <f t="shared" si="6"/>
        <v>1</v>
      </c>
      <c r="BD21" s="174">
        <f t="shared" si="7"/>
        <v>1</v>
      </c>
      <c r="BE21" s="174">
        <f t="shared" si="8"/>
        <v>1</v>
      </c>
      <c r="BF21" s="174">
        <f t="shared" si="9"/>
        <v>1</v>
      </c>
      <c r="BG21" s="174">
        <f t="shared" si="10"/>
        <v>1</v>
      </c>
      <c r="BH21" s="152">
        <f t="shared" si="11"/>
        <v>7.777777778</v>
      </c>
      <c r="BI21" s="153" t="str">
        <f t="shared" si="12"/>
        <v>REGULARES</v>
      </c>
      <c r="BJ21" s="175" t="str">
        <f t="shared" si="13"/>
        <v>OBSERVADOS</v>
      </c>
      <c r="BK21" s="176" t="str">
        <f t="shared" si="14"/>
        <v>OBSERVADOS</v>
      </c>
      <c r="BL21" s="176" t="str">
        <f t="shared" si="15"/>
        <v>OBSERVADOS</v>
      </c>
      <c r="BM21" s="176" t="str">
        <f t="shared" si="16"/>
        <v>BUENO</v>
      </c>
      <c r="BN21" s="176" t="str">
        <f t="shared" si="17"/>
        <v>OBSERVADOS</v>
      </c>
      <c r="BO21" s="176" t="str">
        <f t="shared" si="18"/>
        <v>OBSERVADOS</v>
      </c>
      <c r="BP21" s="176" t="str">
        <f t="shared" si="19"/>
        <v>OBSERVADOS</v>
      </c>
      <c r="BQ21" s="176" t="str">
        <f t="shared" si="20"/>
        <v>OBSERVADOS</v>
      </c>
      <c r="BR21" s="176" t="str">
        <f t="shared" si="21"/>
        <v>OBSERVADOS</v>
      </c>
      <c r="BS21" s="207" t="str">
        <f>OFFSET(ASISTENCIA!$E$1,MATCH($G21,ASISTENCIA!$E:$E,0)-1,MATCH(BS$1,ASISTENCIA!$3:$3,0)-5,1,1)</f>
        <v>Está estudiando y trabajando y no tiene tiempo</v>
      </c>
      <c r="BT21" s="208" t="str">
        <f>OFFSET(ASISTENCIA!$E$1,MATCH($G21,ASISTENCIA!$E:$E,0)-1,MATCH(BT$1,ASISTENCIA!$3:$3,0)-5,1,1)</f>
        <v>Katerine Salas </v>
      </c>
      <c r="BU21" s="209" t="str">
        <f>OFFSET(ASISTENCIA!$E$1,MATCH($G21,ASISTENCIA!$E:$E,0)-1,MATCH(BU$1,ASISTENCIA!$3:$3,0)-5,1,1)</f>
        <v>950198680</v>
      </c>
      <c r="BV21" s="209" t="str">
        <f>OFFSET(ASISTENCIA!$E$1,MATCH($G21,ASISTENCIA!$E:$E,0)-1,MATCH(BV$1,ASISTENCIA!$3:$3,0)-5,1,1)</f>
        <v/>
      </c>
      <c r="BW21" s="55"/>
      <c r="BX21" s="179">
        <f>IFERROR(__xludf.DUMMYFUNCTION("""COMPUTED_VALUE"""),9.295714285714286)</f>
        <v>9.295714286</v>
      </c>
      <c r="BY21" s="210" t="str">
        <f>IFERROR(__xludf.DUMMYFUNCTION("""COMPUTED_VALUE"""),"EXCELENTES")</f>
        <v>EXCELENTES</v>
      </c>
    </row>
    <row r="22" ht="18.0" customHeight="1">
      <c r="A22" s="123">
        <f t="shared" si="22"/>
        <v>19</v>
      </c>
      <c r="B22" s="127" t="str">
        <f>IFERROR(__xludf.DUMMYFUNCTION("""COMPUTED_VALUE"""),"ANTIOQUIANOS")</f>
        <v>ANTIOQUIANOS</v>
      </c>
      <c r="C22" s="128" t="str">
        <f>IFERROR(__xludf.DUMMYFUNCTION("""COMPUTED_VALUE"""),"AUDI ESTELA SAHUANAY HUISACAYNA")</f>
        <v>AUDI ESTELA SAHUANAY HUISACAYNA</v>
      </c>
      <c r="D22" s="128" t="str">
        <f>IFERROR(__xludf.DUMMYFUNCTION("""COMPUTED_VALUE"""),"ESC.LID-1504")</f>
        <v>ESC.LID-1504</v>
      </c>
      <c r="E22" s="127" t="str">
        <f>IFERROR(__xludf.DUMMYFUNCTION("""COMPUTED_VALUE"""),"C1192")</f>
        <v>C1192</v>
      </c>
      <c r="F22" s="127" t="str">
        <f>IFERROR(__xludf.DUMMYFUNCTION("""COMPUTED_VALUE"""),"COELLO PACHECO, JULIO CESAR")</f>
        <v>COELLO PACHECO, JULIO CESAR</v>
      </c>
      <c r="G22" s="128" t="str">
        <f>IFERROR(__xludf.DUMMYFUNCTION("""COMPUTED_VALUE"""),"21497420")</f>
        <v>21497420</v>
      </c>
      <c r="H22" s="128" t="str">
        <f>IFERROR(__xludf.DUMMYFUNCTION("""COMPUTED_VALUE"""),"946049363")</f>
        <v>946049363</v>
      </c>
      <c r="I22" s="129"/>
      <c r="J22" s="129" t="str">
        <f>DEVO!F23</f>
        <v/>
      </c>
      <c r="K22" s="129" t="str">
        <f t="shared" si="1"/>
        <v/>
      </c>
      <c r="L22" s="131">
        <f>IF(TODAY()&gt;=$O$1-6,SUM(OFFSET(ASISTENCIA!$E$1,MATCH($G22,ASISTENCIA!$E:$E,0)-1,MATCH(L$1,ASISTENCIA!$3:$3,0)-5,1,1)),"")</f>
        <v>0</v>
      </c>
      <c r="M22" s="131" t="str">
        <f>OFFSET(ASISTENCIA!$E$1,MATCH($G22,ASISTENCIA!$E:$E,0)-1,MATCH(M$1,ASISTENCIA!$3:$3,0)-5,1,1)</f>
        <v/>
      </c>
      <c r="N22" s="131" t="str">
        <f>OFFSET(ASISTENCIA!$E$1,MATCH($G22,ASISTENCIA!$E:$E,0)-1,MATCH(N$1,ASISTENCIA!$3:$3,0)-5,1,1)</f>
        <v/>
      </c>
      <c r="O22" s="136">
        <f>IF(TODAY()&gt;=$O$1-6,SUM(OFFSET(DEVO!$F$1,MATCH($G22,DEVO!$E:$E,0)-1,MATCH(L$1,DEVO!$1:$1,0)-6,1,7)),"")</f>
        <v>0</v>
      </c>
      <c r="P22" s="131">
        <f>IF(TODAY()&gt;=$S$1-6,SUM(OFFSET(ASISTENCIA!$E$1,MATCH($G22,ASISTENCIA!$E:$E,0)-1,MATCH(P$1,ASISTENCIA!$3:$3,0)-5,1,1)),"")</f>
        <v>0</v>
      </c>
      <c r="Q22" s="131" t="str">
        <f>OFFSET(ASISTENCIA!$E$1,MATCH($G22,ASISTENCIA!$E:$E,0)-1,MATCH(Q$1,ASISTENCIA!$3:$3,0)-5,1,1)</f>
        <v/>
      </c>
      <c r="R22" s="131" t="str">
        <f>OFFSET(ASISTENCIA!$E$1,MATCH($G22,ASISTENCIA!$E:$E,0)-1,MATCH(R$1,ASISTENCIA!$3:$3,0)-5,1,1)</f>
        <v/>
      </c>
      <c r="S22" s="136">
        <f>IF(TODAY()&gt;=$S$1-6,SUM(OFFSET(DEVO!$F$1,MATCH($G22,DEVO!$E:$E,0)-1,MATCH(P$1,DEVO!$1:$1,0)-6,1,7)),"")</f>
        <v>0</v>
      </c>
      <c r="T22" s="131">
        <f>IF(TODAY()&gt;=$W$1-6,SUM(OFFSET(ASISTENCIA!$E$1,MATCH($G22,ASISTENCIA!$E:$E,0)-1,MATCH(T$1,ASISTENCIA!$3:$3,0)-5,1,1)),"")</f>
        <v>0</v>
      </c>
      <c r="U22" s="131" t="str">
        <f>OFFSET(ASISTENCIA!$E$1,MATCH($G22,ASISTENCIA!$E:$E,0)-1,MATCH(U$1,ASISTENCIA!$3:$3,0)-5,1,1)</f>
        <v/>
      </c>
      <c r="V22" s="131" t="str">
        <f>OFFSET(ASISTENCIA!$E$1,MATCH($G22,ASISTENCIA!$E:$E,0)-1,MATCH(V$1,ASISTENCIA!$3:$3,0)-5,1,1)</f>
        <v/>
      </c>
      <c r="W22" s="136">
        <f>IF(TODAY()&gt;=$W$1-6,SUM(OFFSET(DEVO!$F$1,MATCH($G22,DEVO!$E:$E,0)-1,MATCH(T$1,DEVO!$1:$1,0)-6,1,7)),"")</f>
        <v>0</v>
      </c>
      <c r="X22" s="131">
        <f>IF(TODAY()&gt;=$AA$1-6,SUM(OFFSET(ASISTENCIA!$E$1,MATCH($G22,ASISTENCIA!$E:$E,0)-1,MATCH(X$1,ASISTENCIA!$3:$3,0)-5,1,1)),"")</f>
        <v>1</v>
      </c>
      <c r="Y22" s="131">
        <f>OFFSET(ASISTENCIA!$E$1,MATCH($G22,ASISTENCIA!$E:$E,0)-1,MATCH(Y$1,ASISTENCIA!$3:$3,0)-5,1,1)</f>
        <v>5</v>
      </c>
      <c r="Z22" s="131">
        <f>OFFSET(ASISTENCIA!$E$1,MATCH($G22,ASISTENCIA!$E:$E,0)-1,MATCH(Z$1,ASISTENCIA!$3:$3,0)-5,1,1)</f>
        <v>1</v>
      </c>
      <c r="AA22" s="136">
        <f>IF(TODAY()&gt;=$AA$1-6,SUM(OFFSET(DEVO!$F$1,MATCH($G22,DEVO!$E:$E,0)-1,MATCH(X$1,DEVO!$1:$1,0)-6,1,7)),"")</f>
        <v>0</v>
      </c>
      <c r="AB22" s="131">
        <f>IF(TODAY()&gt;=$AE$1-6,SUM(OFFSET(ASISTENCIA!$E$1,MATCH($G22,ASISTENCIA!$E:$E,0)-1,MATCH(AB$1,ASISTENCIA!$3:$3,0)-5,1,1)),"")</f>
        <v>1</v>
      </c>
      <c r="AC22" s="131" t="str">
        <f>OFFSET(ASISTENCIA!$E$1,MATCH($G22,ASISTENCIA!$E:$E,0)-1,MATCH(AC$1,ASISTENCIA!$3:$3,0)-5,1,1)</f>
        <v/>
      </c>
      <c r="AD22" s="131">
        <f>OFFSET(ASISTENCIA!$E$1,MATCH($G22,ASISTENCIA!$E:$E,0)-1,MATCH(AD$1,ASISTENCIA!$3:$3,0)-5,1,1)</f>
        <v>2</v>
      </c>
      <c r="AE22" s="136">
        <f>IF(TODAY()&gt;=$AE$1-6,SUM(OFFSET(DEVO!$F$1,MATCH($G22,DEVO!$E:$E,0)-1,MATCH(AB$1,DEVO!$1:$1,0)-6,1,7)),"")</f>
        <v>5</v>
      </c>
      <c r="AF22" s="131">
        <f>IF(TODAY()&gt;=$AI$1-6,SUM(OFFSET(ASISTENCIA!$E$1,MATCH($G22,ASISTENCIA!$E:$E,0)-1,MATCH(AF$1,ASISTENCIA!$3:$3,0)-5,1,1)),"")</f>
        <v>2</v>
      </c>
      <c r="AG22" s="131" t="str">
        <f>OFFSET(ASISTENCIA!$E$1,MATCH($G22,ASISTENCIA!$E:$E,0)-1,MATCH(AG$1,ASISTENCIA!$3:$3,0)-5,1,1)</f>
        <v/>
      </c>
      <c r="AH22" s="131">
        <f>OFFSET(ASISTENCIA!$E$1,MATCH($G22,ASISTENCIA!$E:$E,0)-1,MATCH(AH$1,ASISTENCIA!$3:$3,0)-5,1,1)</f>
        <v>2</v>
      </c>
      <c r="AI22" s="136">
        <f>IF(TODAY()&gt;=$AI$1-6,SUM(OFFSET(DEVO!$F$1,MATCH($G22,DEVO!$E:$E,0)-1,MATCH(AF$1,DEVO!$1:$1,0)-6,1,7)),"")</f>
        <v>7</v>
      </c>
      <c r="AJ22" s="131">
        <f>IF(TODAY()&gt;=$AM$1-6,SUM(OFFSET(ASISTENCIA!$E$1,MATCH($G22,ASISTENCIA!$E:$E,0)-1,MATCH(AJ$1,ASISTENCIA!$3:$3,0)-5,1,1)),"")</f>
        <v>1</v>
      </c>
      <c r="AK22" s="131" t="str">
        <f>OFFSET(ASISTENCIA!$E$1,MATCH($G22,ASISTENCIA!$E:$E,0)-1,MATCH(AK$1,ASISTENCIA!$3:$3,0)-5,1,1)</f>
        <v/>
      </c>
      <c r="AL22" s="131">
        <f>OFFSET(ASISTENCIA!$E$1,MATCH($G22,ASISTENCIA!$E:$E,0)-1,MATCH(AL$1,ASISTENCIA!$3:$3,0)-5,1,1)</f>
        <v>2</v>
      </c>
      <c r="AM22" s="136">
        <f>IF(TODAY()&gt;=$AM$1-6,SUM(OFFSET(DEVO!$F$1,MATCH($G22,DEVO!$E:$E,0)-1,MATCH(AJ$1,DEVO!$1:$1,0)-6,1,7)),"")</f>
        <v>7</v>
      </c>
      <c r="AN22" s="131">
        <f>IF(TODAY()&gt;=$AQ$1-6,SUM(OFFSET(ASISTENCIA!$E$1,MATCH($G22,ASISTENCIA!$E:$E,0)-1,MATCH(AN$1,ASISTENCIA!$3:$3,0)-5,1,1)),"")</f>
        <v>1</v>
      </c>
      <c r="AO22" s="131" t="str">
        <f>OFFSET(ASISTENCIA!$E$1,MATCH($G22,ASISTENCIA!$E:$E,0)-1,MATCH(AO$1,ASISTENCIA!$3:$3,0)-5,1,1)</f>
        <v/>
      </c>
      <c r="AP22" s="131">
        <f>OFFSET(ASISTENCIA!$E$1,MATCH($G22,ASISTENCIA!$E:$E,0)-1,MATCH(AP$1,ASISTENCIA!$3:$3,0)-5,1,1)</f>
        <v>2</v>
      </c>
      <c r="AQ22" s="136">
        <f>IF(TODAY()&gt;=$AQ$1-6,SUM(OFFSET(DEVO!$F$1,MATCH($G22,DEVO!$E:$E,0)-1,MATCH(AN$1,DEVO!$1:$1,0)-6,1,7)),"")</f>
        <v>7</v>
      </c>
      <c r="AR22" s="131">
        <f>IF(TODAY()&gt;=$AU$1-6,SUM(OFFSET(ASISTENCIA!$E$1,MATCH($G22,ASISTENCIA!$E:$E,0)-1,MATCH(AR$1,ASISTENCIA!$3:$3,0)-5,1,1)),"")</f>
        <v>2</v>
      </c>
      <c r="AS22" s="131" t="str">
        <f>OFFSET(ASISTENCIA!$E$1,MATCH($G22,ASISTENCIA!$E:$E,0)-1,MATCH(AS$1,ASISTENCIA!$3:$3,0)-5,1,1)</f>
        <v/>
      </c>
      <c r="AT22" s="131">
        <f>OFFSET(ASISTENCIA!$E$1,MATCH($G22,ASISTENCIA!$E:$E,0)-1,MATCH(AT$1,ASISTENCIA!$3:$3,0)-5,1,1)</f>
        <v>2</v>
      </c>
      <c r="AU22" s="136">
        <f>IF(TODAY()&gt;=$AU$1-6,SUM(OFFSET(DEVO!$F$1,MATCH($G22,DEVO!$E:$E,0)-1,MATCH(AR$1,DEVO!$1:$1,0)-6,1,7)),"")</f>
        <v>4</v>
      </c>
      <c r="AV22" s="131">
        <f>OFFSET(ASISTENCIA!$E$1,MATCH($G22,ASISTENCIA!$E:$E,0)-1,MATCH(AV$1,ASISTENCIA!$3:$3,0)-5,1,1)</f>
        <v>11</v>
      </c>
      <c r="AW22" s="131">
        <f>OFFSET(ASISTENCIA!$E$1,MATCH($G22,ASISTENCIA!$E:$E,0)-1,MATCH(AW$1,ASISTENCIA!$3:$3,0)-5,1,1)</f>
        <v>20</v>
      </c>
      <c r="AY22" s="173">
        <f t="shared" si="2"/>
        <v>0</v>
      </c>
      <c r="AZ22" s="174">
        <f t="shared" si="3"/>
        <v>0</v>
      </c>
      <c r="BA22" s="174">
        <f t="shared" si="4"/>
        <v>0</v>
      </c>
      <c r="BB22" s="174">
        <f t="shared" si="5"/>
        <v>1</v>
      </c>
      <c r="BC22" s="174">
        <f t="shared" si="6"/>
        <v>1</v>
      </c>
      <c r="BD22" s="174">
        <f t="shared" si="7"/>
        <v>1</v>
      </c>
      <c r="BE22" s="174">
        <f t="shared" si="8"/>
        <v>1</v>
      </c>
      <c r="BF22" s="174">
        <f t="shared" si="9"/>
        <v>1</v>
      </c>
      <c r="BG22" s="174">
        <f t="shared" si="10"/>
        <v>1</v>
      </c>
      <c r="BH22" s="152">
        <f t="shared" si="11"/>
        <v>6.666666667</v>
      </c>
      <c r="BI22" s="153" t="str">
        <f t="shared" si="12"/>
        <v>REGULARES</v>
      </c>
      <c r="BJ22" s="175" t="str">
        <f t="shared" si="13"/>
        <v>OBSERVADOS</v>
      </c>
      <c r="BK22" s="176" t="str">
        <f t="shared" si="14"/>
        <v>OBSERVADOS</v>
      </c>
      <c r="BL22" s="176" t="str">
        <f t="shared" si="15"/>
        <v>OBSERVADOS</v>
      </c>
      <c r="BM22" s="176" t="str">
        <f t="shared" si="16"/>
        <v>OBSERVADOS</v>
      </c>
      <c r="BN22" s="176" t="str">
        <f t="shared" si="17"/>
        <v>BUENO</v>
      </c>
      <c r="BO22" s="176" t="str">
        <f t="shared" si="18"/>
        <v>EXCELENTES</v>
      </c>
      <c r="BP22" s="176" t="str">
        <f t="shared" si="19"/>
        <v>EXCELENTES</v>
      </c>
      <c r="BQ22" s="176" t="str">
        <f t="shared" si="20"/>
        <v>EXCELENTES</v>
      </c>
      <c r="BR22" s="176" t="str">
        <f t="shared" si="21"/>
        <v>REGULARES</v>
      </c>
      <c r="BS22" s="207" t="str">
        <f>OFFSET(ASISTENCIA!$E$1,MATCH($G22,ASISTENCIA!$E:$E,0)-1,MATCH(BS$1,ASISTENCIA!$3:$3,0)-5,1,1)</f>
        <v>El trabajo no es del libro, es una monografía sobre la soledad.</v>
      </c>
      <c r="BT22" s="208" t="str">
        <f>OFFSET(ASISTENCIA!$E$1,MATCH($G22,ASISTENCIA!$E:$E,0)-1,MATCH(BT$1,ASISTENCIA!$3:$3,0)-5,1,1)</f>
        <v>Henry Quiroz </v>
      </c>
      <c r="BU22" s="209" t="str">
        <f>OFFSET(ASISTENCIA!$E$1,MATCH($G22,ASISTENCIA!$E:$E,0)-1,MATCH(BU$1,ASISTENCIA!$3:$3,0)-5,1,1)</f>
        <v>959480317</v>
      </c>
      <c r="BV22" s="209" t="str">
        <f>OFFSET(ASISTENCIA!$E$1,MATCH($G22,ASISTENCIA!$E:$E,0)-1,MATCH(BV$1,ASISTENCIA!$3:$3,0)-5,1,1)</f>
        <v/>
      </c>
      <c r="BW22" s="55"/>
      <c r="BX22" s="179">
        <f>IFERROR(__xludf.DUMMYFUNCTION("""COMPUTED_VALUE"""),100.0)</f>
        <v>100</v>
      </c>
      <c r="BY22" s="210" t="str">
        <f>IFERROR(__xludf.DUMMYFUNCTION("""COMPUTED_VALUE"""),"EXCELENTES")</f>
        <v>EXCELENTES</v>
      </c>
    </row>
    <row r="23">
      <c r="A23" s="123">
        <f t="shared" si="22"/>
        <v>20</v>
      </c>
      <c r="B23" s="127"/>
      <c r="C23" s="128"/>
      <c r="D23" s="128"/>
      <c r="E23" s="127"/>
      <c r="F23" s="127"/>
      <c r="G23" s="128"/>
      <c r="H23" s="128"/>
      <c r="I23" s="129"/>
      <c r="J23" s="129" t="str">
        <f>DEVO!F24</f>
        <v/>
      </c>
      <c r="K23" s="129" t="str">
        <f t="shared" si="1"/>
        <v/>
      </c>
      <c r="L23" s="131" t="str">
        <f>IF(TODAY()&gt;=$O$1-6,SUM(OFFSET(ASISTENCIA!$E$1,MATCH($G23,ASISTENCIA!$E:$E,0)-1,MATCH(L$1,ASISTENCIA!$3:$3,0)-5,1,1)),"")</f>
        <v>#N/A</v>
      </c>
      <c r="M23" s="131" t="str">
        <f>OFFSET(ASISTENCIA!$E$1,MATCH($G23,ASISTENCIA!$E:$E,0)-1,MATCH(M$1,ASISTENCIA!$3:$3,0)-5,1,1)</f>
        <v>#N/A</v>
      </c>
      <c r="N23" s="131" t="str">
        <f>OFFSET(ASISTENCIA!$E$1,MATCH($G23,ASISTENCIA!$E:$E,0)-1,MATCH(N$1,ASISTENCIA!$3:$3,0)-5,1,1)</f>
        <v>#N/A</v>
      </c>
      <c r="O23" s="136" t="str">
        <f>IF(TODAY()&gt;=$O$1-6,SUM(OFFSET(DEVO!$F$1,MATCH($G23,DEVO!$E:$E,0)-1,MATCH(L$1,DEVO!$1:$1,0)-6,1,7)),"")</f>
        <v>#N/A</v>
      </c>
      <c r="P23" s="131" t="str">
        <f>IF(TODAY()&gt;=$S$1-6,SUM(OFFSET(ASISTENCIA!$E$1,MATCH($G23,ASISTENCIA!$E:$E,0)-1,MATCH(P$1,ASISTENCIA!$3:$3,0)-5,1,1)),"")</f>
        <v>#N/A</v>
      </c>
      <c r="Q23" s="131" t="str">
        <f>OFFSET(ASISTENCIA!$E$1,MATCH($G23,ASISTENCIA!$E:$E,0)-1,MATCH(Q$1,ASISTENCIA!$3:$3,0)-5,1,1)</f>
        <v>#N/A</v>
      </c>
      <c r="R23" s="131" t="str">
        <f>OFFSET(ASISTENCIA!$E$1,MATCH($G23,ASISTENCIA!$E:$E,0)-1,MATCH(R$1,ASISTENCIA!$3:$3,0)-5,1,1)</f>
        <v>#N/A</v>
      </c>
      <c r="S23" s="136" t="str">
        <f>IF(TODAY()&gt;=$S$1-6,SUM(OFFSET(DEVO!$F$1,MATCH($G23,DEVO!$E:$E,0)-1,MATCH(P$1,DEVO!$1:$1,0)-6,1,7)),"")</f>
        <v>#N/A</v>
      </c>
      <c r="T23" s="131" t="str">
        <f>IF(TODAY()&gt;=$W$1-6,SUM(OFFSET(ASISTENCIA!$E$1,MATCH($G23,ASISTENCIA!$E:$E,0)-1,MATCH(T$1,ASISTENCIA!$3:$3,0)-5,1,1)),"")</f>
        <v>#N/A</v>
      </c>
      <c r="U23" s="131" t="str">
        <f>OFFSET(ASISTENCIA!$E$1,MATCH($G23,ASISTENCIA!$E:$E,0)-1,MATCH(U$1,ASISTENCIA!$3:$3,0)-5,1,1)</f>
        <v>#N/A</v>
      </c>
      <c r="V23" s="131" t="str">
        <f>OFFSET(ASISTENCIA!$E$1,MATCH($G23,ASISTENCIA!$E:$E,0)-1,MATCH(V$1,ASISTENCIA!$3:$3,0)-5,1,1)</f>
        <v>#N/A</v>
      </c>
      <c r="W23" s="136" t="str">
        <f>IF(TODAY()&gt;=$W$1-6,SUM(OFFSET(DEVO!$F$1,MATCH($G23,DEVO!$E:$E,0)-1,MATCH(T$1,DEVO!$1:$1,0)-6,1,7)),"")</f>
        <v>#N/A</v>
      </c>
      <c r="X23" s="131" t="str">
        <f>IF(TODAY()&gt;=$AA$1-6,SUM(OFFSET(ASISTENCIA!$E$1,MATCH($G23,ASISTENCIA!$E:$E,0)-1,MATCH(X$1,ASISTENCIA!$3:$3,0)-5,1,1)),"")</f>
        <v>#N/A</v>
      </c>
      <c r="Y23" s="131" t="str">
        <f>OFFSET(ASISTENCIA!$E$1,MATCH($G23,ASISTENCIA!$E:$E,0)-1,MATCH(Y$1,ASISTENCIA!$3:$3,0)-5,1,1)</f>
        <v>#N/A</v>
      </c>
      <c r="Z23" s="131" t="str">
        <f>OFFSET(ASISTENCIA!$E$1,MATCH($G23,ASISTENCIA!$E:$E,0)-1,MATCH(Z$1,ASISTENCIA!$3:$3,0)-5,1,1)</f>
        <v>#N/A</v>
      </c>
      <c r="AA23" s="136" t="str">
        <f>IF(TODAY()&gt;=$AA$1-6,SUM(OFFSET(DEVO!$F$1,MATCH($G23,DEVO!$E:$E,0)-1,MATCH(X$1,DEVO!$1:$1,0)-6,1,7)),"")</f>
        <v>#N/A</v>
      </c>
      <c r="AB23" s="131" t="str">
        <f>IF(TODAY()&gt;=$AE$1-6,SUM(OFFSET(ASISTENCIA!$E$1,MATCH($G23,ASISTENCIA!$E:$E,0)-1,MATCH(AB$1,ASISTENCIA!$3:$3,0)-5,1,1)),"")</f>
        <v>#N/A</v>
      </c>
      <c r="AC23" s="131" t="str">
        <f>OFFSET(ASISTENCIA!$E$1,MATCH($G23,ASISTENCIA!$E:$E,0)-1,MATCH(AC$1,ASISTENCIA!$3:$3,0)-5,1,1)</f>
        <v>#N/A</v>
      </c>
      <c r="AD23" s="131" t="str">
        <f>OFFSET(ASISTENCIA!$E$1,MATCH($G23,ASISTENCIA!$E:$E,0)-1,MATCH(AD$1,ASISTENCIA!$3:$3,0)-5,1,1)</f>
        <v>#N/A</v>
      </c>
      <c r="AE23" s="136" t="str">
        <f>IF(TODAY()&gt;=$AE$1-6,SUM(OFFSET(DEVO!$F$1,MATCH($G23,DEVO!$E:$E,0)-1,MATCH(AB$1,DEVO!$1:$1,0)-6,1,7)),"")</f>
        <v>#N/A</v>
      </c>
      <c r="AF23" s="131" t="str">
        <f>IF(TODAY()&gt;=$AI$1-6,SUM(OFFSET(ASISTENCIA!$E$1,MATCH($G23,ASISTENCIA!$E:$E,0)-1,MATCH(AF$1,ASISTENCIA!$3:$3,0)-5,1,1)),"")</f>
        <v>#N/A</v>
      </c>
      <c r="AG23" s="131" t="str">
        <f>OFFSET(ASISTENCIA!$E$1,MATCH($G23,ASISTENCIA!$E:$E,0)-1,MATCH(AG$1,ASISTENCIA!$3:$3,0)-5,1,1)</f>
        <v>#N/A</v>
      </c>
      <c r="AH23" s="131" t="str">
        <f>OFFSET(ASISTENCIA!$E$1,MATCH($G23,ASISTENCIA!$E:$E,0)-1,MATCH(AH$1,ASISTENCIA!$3:$3,0)-5,1,1)</f>
        <v>#N/A</v>
      </c>
      <c r="AI23" s="136" t="str">
        <f>IF(TODAY()&gt;=$AI$1-6,SUM(OFFSET(DEVO!$F$1,MATCH($G23,DEVO!$E:$E,0)-1,MATCH(AF$1,DEVO!$1:$1,0)-6,1,7)),"")</f>
        <v>#N/A</v>
      </c>
      <c r="AJ23" s="131" t="str">
        <f>IF(TODAY()&gt;=$AM$1-6,SUM(OFFSET(ASISTENCIA!$E$1,MATCH($G23,ASISTENCIA!$E:$E,0)-1,MATCH(AJ$1,ASISTENCIA!$3:$3,0)-5,1,1)),"")</f>
        <v>#N/A</v>
      </c>
      <c r="AK23" s="131" t="str">
        <f>OFFSET(ASISTENCIA!$E$1,MATCH($G23,ASISTENCIA!$E:$E,0)-1,MATCH(AK$1,ASISTENCIA!$3:$3,0)-5,1,1)</f>
        <v>#N/A</v>
      </c>
      <c r="AL23" s="131" t="str">
        <f>OFFSET(ASISTENCIA!$E$1,MATCH($G23,ASISTENCIA!$E:$E,0)-1,MATCH(AL$1,ASISTENCIA!$3:$3,0)-5,1,1)</f>
        <v>#N/A</v>
      </c>
      <c r="AM23" s="136" t="str">
        <f>IF(TODAY()&gt;=$AM$1-6,SUM(OFFSET(DEVO!$F$1,MATCH($G23,DEVO!$E:$E,0)-1,MATCH(AJ$1,DEVO!$1:$1,0)-6,1,7)),"")</f>
        <v>#N/A</v>
      </c>
      <c r="AN23" s="131" t="str">
        <f>IF(TODAY()&gt;=$AQ$1-6,SUM(OFFSET(ASISTENCIA!$E$1,MATCH($G23,ASISTENCIA!$E:$E,0)-1,MATCH(AN$1,ASISTENCIA!$3:$3,0)-5,1,1)),"")</f>
        <v>#N/A</v>
      </c>
      <c r="AO23" s="131" t="str">
        <f>OFFSET(ASISTENCIA!$E$1,MATCH($G23,ASISTENCIA!$E:$E,0)-1,MATCH(AO$1,ASISTENCIA!$3:$3,0)-5,1,1)</f>
        <v>#N/A</v>
      </c>
      <c r="AP23" s="131" t="str">
        <f>OFFSET(ASISTENCIA!$E$1,MATCH($G23,ASISTENCIA!$E:$E,0)-1,MATCH(AP$1,ASISTENCIA!$3:$3,0)-5,1,1)</f>
        <v>#N/A</v>
      </c>
      <c r="AQ23" s="136" t="str">
        <f>IF(TODAY()&gt;=$AQ$1-6,SUM(OFFSET(DEVO!$F$1,MATCH($G23,DEVO!$E:$E,0)-1,MATCH(AN$1,DEVO!$1:$1,0)-6,1,7)),"")</f>
        <v>#N/A</v>
      </c>
      <c r="AR23" s="131" t="str">
        <f>IF(TODAY()&gt;=$AU$1-6,SUM(OFFSET(ASISTENCIA!$E$1,MATCH($G23,ASISTENCIA!$E:$E,0)-1,MATCH(AR$1,ASISTENCIA!$3:$3,0)-5,1,1)),"")</f>
        <v>#N/A</v>
      </c>
      <c r="AS23" s="131" t="str">
        <f>OFFSET(ASISTENCIA!$E$1,MATCH($G23,ASISTENCIA!$E:$E,0)-1,MATCH(AS$1,ASISTENCIA!$3:$3,0)-5,1,1)</f>
        <v>#N/A</v>
      </c>
      <c r="AT23" s="131" t="str">
        <f>OFFSET(ASISTENCIA!$E$1,MATCH($G23,ASISTENCIA!$E:$E,0)-1,MATCH(AT$1,ASISTENCIA!$3:$3,0)-5,1,1)</f>
        <v>#N/A</v>
      </c>
      <c r="AU23" s="136" t="str">
        <f>IF(TODAY()&gt;=$AU$1-6,SUM(OFFSET(DEVO!$F$1,MATCH($G23,DEVO!$E:$E,0)-1,MATCH(AR$1,DEVO!$1:$1,0)-6,1,7)),"")</f>
        <v>#N/A</v>
      </c>
      <c r="AV23" s="131" t="str">
        <f>OFFSET(ASISTENCIA!$E$1,MATCH($G23,ASISTENCIA!$E:$E,0)-1,MATCH(AV$1,ASISTENCIA!$3:$3,0)-5,1,1)</f>
        <v>#N/A</v>
      </c>
      <c r="AW23" s="131" t="str">
        <f>OFFSET(ASISTENCIA!$E$1,MATCH($G23,ASISTENCIA!$E:$E,0)-1,MATCH(AW$1,ASISTENCIA!$3:$3,0)-5,1,1)</f>
        <v>#N/A</v>
      </c>
      <c r="AY23" s="173">
        <f t="shared" si="2"/>
        <v>0</v>
      </c>
      <c r="AZ23" s="174">
        <f t="shared" si="3"/>
        <v>0</v>
      </c>
      <c r="BA23" s="174">
        <f t="shared" si="4"/>
        <v>0</v>
      </c>
      <c r="BB23" s="174">
        <f t="shared" si="5"/>
        <v>0</v>
      </c>
      <c r="BC23" s="174">
        <f t="shared" si="6"/>
        <v>0</v>
      </c>
      <c r="BD23" s="174">
        <f t="shared" si="7"/>
        <v>0</v>
      </c>
      <c r="BE23" s="174">
        <f t="shared" si="8"/>
        <v>0</v>
      </c>
      <c r="BF23" s="174">
        <f t="shared" si="9"/>
        <v>0</v>
      </c>
      <c r="BG23" s="174">
        <f t="shared" si="10"/>
        <v>0</v>
      </c>
      <c r="BH23" s="152">
        <f t="shared" si="11"/>
        <v>0</v>
      </c>
      <c r="BI23" s="153" t="str">
        <f t="shared" si="12"/>
        <v>OBSERVADOS</v>
      </c>
      <c r="BJ23" s="175" t="str">
        <f t="shared" si="13"/>
        <v>#N/A</v>
      </c>
      <c r="BK23" s="176" t="str">
        <f t="shared" si="14"/>
        <v>#N/A</v>
      </c>
      <c r="BL23" s="176" t="str">
        <f t="shared" si="15"/>
        <v>#N/A</v>
      </c>
      <c r="BM23" s="176" t="str">
        <f t="shared" si="16"/>
        <v>#N/A</v>
      </c>
      <c r="BN23" s="176" t="str">
        <f t="shared" si="17"/>
        <v>#N/A</v>
      </c>
      <c r="BO23" s="176" t="str">
        <f t="shared" si="18"/>
        <v>#N/A</v>
      </c>
      <c r="BP23" s="176" t="str">
        <f t="shared" si="19"/>
        <v>#N/A</v>
      </c>
      <c r="BQ23" s="176" t="str">
        <f t="shared" si="20"/>
        <v>#N/A</v>
      </c>
      <c r="BR23" s="176" t="str">
        <f t="shared" si="21"/>
        <v>#N/A</v>
      </c>
      <c r="BS23" s="207" t="str">
        <f>OFFSET(ASISTENCIA!$E$1,MATCH($G23,ASISTENCIA!$E:$E,0)-1,MATCH(BS$1,ASISTENCIA!$3:$3,0)-5,1,1)</f>
        <v>#N/A</v>
      </c>
      <c r="BT23" s="207" t="str">
        <f>OFFSET(ASISTENCIA!$E$1,MATCH($G23,ASISTENCIA!$E:$E,0)-1,MATCH(BT$1,ASISTENCIA!$3:$3,0)-5,1,1)</f>
        <v>#N/A</v>
      </c>
      <c r="BU23" s="215" t="str">
        <f>OFFSET(ASISTENCIA!$E$1,MATCH($G23,ASISTENCIA!$E:$E,0)-1,MATCH(BU$1,ASISTENCIA!$3:$3,0)-5,1,1)</f>
        <v>#N/A</v>
      </c>
      <c r="BV23" s="215" t="str">
        <f>OFFSET(ASISTENCIA!$E$1,MATCH($G23,ASISTENCIA!$E:$E,0)-1,MATCH(BV$1,ASISTENCIA!$3:$3,0)-5,1,1)</f>
        <v>#N/A</v>
      </c>
      <c r="BW23" s="55"/>
      <c r="BX23" s="55"/>
      <c r="BY23" s="55"/>
    </row>
    <row r="24">
      <c r="A24" s="123">
        <f t="shared" si="22"/>
        <v>21</v>
      </c>
      <c r="B24" s="127"/>
      <c r="C24" s="128"/>
      <c r="D24" s="128"/>
      <c r="E24" s="127"/>
      <c r="F24" s="127"/>
      <c r="G24" s="128"/>
      <c r="H24" s="128"/>
      <c r="I24" s="129"/>
      <c r="J24" s="129" t="str">
        <f>DEVO!F25</f>
        <v/>
      </c>
      <c r="K24" s="129" t="str">
        <f t="shared" si="1"/>
        <v/>
      </c>
      <c r="L24" s="131" t="str">
        <f>IF(TODAY()&gt;=$O$1-6,SUM(OFFSET(ASISTENCIA!$E$1,MATCH($G24,ASISTENCIA!$E:$E,0)-1,MATCH(L$1,ASISTENCIA!$3:$3,0)-5,1,1)),"")</f>
        <v>#N/A</v>
      </c>
      <c r="M24" s="131" t="str">
        <f>OFFSET(ASISTENCIA!$E$1,MATCH($G24,ASISTENCIA!$E:$E,0)-1,MATCH(M$1,ASISTENCIA!$3:$3,0)-5,1,1)</f>
        <v>#N/A</v>
      </c>
      <c r="N24" s="131" t="str">
        <f>OFFSET(ASISTENCIA!$E$1,MATCH($G24,ASISTENCIA!$E:$E,0)-1,MATCH(N$1,ASISTENCIA!$3:$3,0)-5,1,1)</f>
        <v>#N/A</v>
      </c>
      <c r="O24" s="136" t="str">
        <f>IF(TODAY()&gt;=$O$1-6,SUM(OFFSET(DEVO!$F$1,MATCH($G24,DEVO!$E:$E,0)-1,MATCH(L$1,DEVO!$1:$1,0)-6,1,7)),"")</f>
        <v>#N/A</v>
      </c>
      <c r="P24" s="131" t="str">
        <f>IF(TODAY()&gt;=$S$1-6,SUM(OFFSET(ASISTENCIA!$E$1,MATCH($G24,ASISTENCIA!$E:$E,0)-1,MATCH(P$1,ASISTENCIA!$3:$3,0)-5,1,1)),"")</f>
        <v>#N/A</v>
      </c>
      <c r="Q24" s="131" t="str">
        <f>OFFSET(ASISTENCIA!$E$1,MATCH($G24,ASISTENCIA!$E:$E,0)-1,MATCH(Q$1,ASISTENCIA!$3:$3,0)-5,1,1)</f>
        <v>#N/A</v>
      </c>
      <c r="R24" s="131" t="str">
        <f>OFFSET(ASISTENCIA!$E$1,MATCH($G24,ASISTENCIA!$E:$E,0)-1,MATCH(R$1,ASISTENCIA!$3:$3,0)-5,1,1)</f>
        <v>#N/A</v>
      </c>
      <c r="S24" s="136" t="str">
        <f>IF(TODAY()&gt;=$S$1-6,SUM(OFFSET(DEVO!$F$1,MATCH($G24,DEVO!$E:$E,0)-1,MATCH(P$1,DEVO!$1:$1,0)-6,1,7)),"")</f>
        <v>#N/A</v>
      </c>
      <c r="T24" s="131" t="str">
        <f>IF(TODAY()&gt;=$W$1-6,SUM(OFFSET(ASISTENCIA!$E$1,MATCH($G24,ASISTENCIA!$E:$E,0)-1,MATCH(T$1,ASISTENCIA!$3:$3,0)-5,1,1)),"")</f>
        <v>#N/A</v>
      </c>
      <c r="U24" s="131" t="str">
        <f>OFFSET(ASISTENCIA!$E$1,MATCH($G24,ASISTENCIA!$E:$E,0)-1,MATCH(U$1,ASISTENCIA!$3:$3,0)-5,1,1)</f>
        <v>#N/A</v>
      </c>
      <c r="V24" s="131" t="str">
        <f>OFFSET(ASISTENCIA!$E$1,MATCH($G24,ASISTENCIA!$E:$E,0)-1,MATCH(V$1,ASISTENCIA!$3:$3,0)-5,1,1)</f>
        <v>#N/A</v>
      </c>
      <c r="W24" s="136" t="str">
        <f>IF(TODAY()&gt;=$W$1-6,SUM(OFFSET(DEVO!$F$1,MATCH($G24,DEVO!$E:$E,0)-1,MATCH(T$1,DEVO!$1:$1,0)-6,1,7)),"")</f>
        <v>#N/A</v>
      </c>
      <c r="X24" s="131" t="str">
        <f>IF(TODAY()&gt;=$AA$1-6,SUM(OFFSET(ASISTENCIA!$E$1,MATCH($G24,ASISTENCIA!$E:$E,0)-1,MATCH(X$1,ASISTENCIA!$3:$3,0)-5,1,1)),"")</f>
        <v>#N/A</v>
      </c>
      <c r="Y24" s="131" t="str">
        <f>OFFSET(ASISTENCIA!$E$1,MATCH($G24,ASISTENCIA!$E:$E,0)-1,MATCH(Y$1,ASISTENCIA!$3:$3,0)-5,1,1)</f>
        <v>#N/A</v>
      </c>
      <c r="Z24" s="131" t="str">
        <f>OFFSET(ASISTENCIA!$E$1,MATCH($G24,ASISTENCIA!$E:$E,0)-1,MATCH(Z$1,ASISTENCIA!$3:$3,0)-5,1,1)</f>
        <v>#N/A</v>
      </c>
      <c r="AA24" s="136" t="str">
        <f>IF(TODAY()&gt;=$AA$1-6,SUM(OFFSET(DEVO!$F$1,MATCH($G24,DEVO!$E:$E,0)-1,MATCH(X$1,DEVO!$1:$1,0)-6,1,7)),"")</f>
        <v>#N/A</v>
      </c>
      <c r="AB24" s="131" t="str">
        <f>IF(TODAY()&gt;=$AE$1-6,SUM(OFFSET(ASISTENCIA!$E$1,MATCH($G24,ASISTENCIA!$E:$E,0)-1,MATCH(AB$1,ASISTENCIA!$3:$3,0)-5,1,1)),"")</f>
        <v>#N/A</v>
      </c>
      <c r="AC24" s="131" t="str">
        <f>OFFSET(ASISTENCIA!$E$1,MATCH($G24,ASISTENCIA!$E:$E,0)-1,MATCH(AC$1,ASISTENCIA!$3:$3,0)-5,1,1)</f>
        <v>#N/A</v>
      </c>
      <c r="AD24" s="131" t="str">
        <f>OFFSET(ASISTENCIA!$E$1,MATCH($G24,ASISTENCIA!$E:$E,0)-1,MATCH(AD$1,ASISTENCIA!$3:$3,0)-5,1,1)</f>
        <v>#N/A</v>
      </c>
      <c r="AE24" s="136" t="str">
        <f>IF(TODAY()&gt;=$AE$1-6,SUM(OFFSET(DEVO!$F$1,MATCH($G24,DEVO!$E:$E,0)-1,MATCH(AB$1,DEVO!$1:$1,0)-6,1,7)),"")</f>
        <v>#N/A</v>
      </c>
      <c r="AF24" s="131" t="str">
        <f>IF(TODAY()&gt;=$AI$1-6,SUM(OFFSET(ASISTENCIA!$E$1,MATCH($G24,ASISTENCIA!$E:$E,0)-1,MATCH(AF$1,ASISTENCIA!$3:$3,0)-5,1,1)),"")</f>
        <v>#N/A</v>
      </c>
      <c r="AG24" s="131" t="str">
        <f>OFFSET(ASISTENCIA!$E$1,MATCH($G24,ASISTENCIA!$E:$E,0)-1,MATCH(AG$1,ASISTENCIA!$3:$3,0)-5,1,1)</f>
        <v>#N/A</v>
      </c>
      <c r="AH24" s="131" t="str">
        <f>OFFSET(ASISTENCIA!$E$1,MATCH($G24,ASISTENCIA!$E:$E,0)-1,MATCH(AH$1,ASISTENCIA!$3:$3,0)-5,1,1)</f>
        <v>#N/A</v>
      </c>
      <c r="AI24" s="136" t="str">
        <f>IF(TODAY()&gt;=$AI$1-6,SUM(OFFSET(DEVO!$F$1,MATCH($G24,DEVO!$E:$E,0)-1,MATCH(AF$1,DEVO!$1:$1,0)-6,1,7)),"")</f>
        <v>#N/A</v>
      </c>
      <c r="AJ24" s="131" t="str">
        <f>IF(TODAY()&gt;=$AM$1-6,SUM(OFFSET(ASISTENCIA!$E$1,MATCH($G24,ASISTENCIA!$E:$E,0)-1,MATCH(AJ$1,ASISTENCIA!$3:$3,0)-5,1,1)),"")</f>
        <v>#N/A</v>
      </c>
      <c r="AK24" s="131" t="str">
        <f>OFFSET(ASISTENCIA!$E$1,MATCH($G24,ASISTENCIA!$E:$E,0)-1,MATCH(AK$1,ASISTENCIA!$3:$3,0)-5,1,1)</f>
        <v>#N/A</v>
      </c>
      <c r="AL24" s="131" t="str">
        <f>OFFSET(ASISTENCIA!$E$1,MATCH($G24,ASISTENCIA!$E:$E,0)-1,MATCH(AL$1,ASISTENCIA!$3:$3,0)-5,1,1)</f>
        <v>#N/A</v>
      </c>
      <c r="AM24" s="136" t="str">
        <f>IF(TODAY()&gt;=$AM$1-6,SUM(OFFSET(DEVO!$F$1,MATCH($G24,DEVO!$E:$E,0)-1,MATCH(AJ$1,DEVO!$1:$1,0)-6,1,7)),"")</f>
        <v>#N/A</v>
      </c>
      <c r="AN24" s="131" t="str">
        <f>IF(TODAY()&gt;=$AQ$1-6,SUM(OFFSET(ASISTENCIA!$E$1,MATCH($G24,ASISTENCIA!$E:$E,0)-1,MATCH(AN$1,ASISTENCIA!$3:$3,0)-5,1,1)),"")</f>
        <v>#N/A</v>
      </c>
      <c r="AO24" s="131" t="str">
        <f>OFFSET(ASISTENCIA!$E$1,MATCH($G24,ASISTENCIA!$E:$E,0)-1,MATCH(AO$1,ASISTENCIA!$3:$3,0)-5,1,1)</f>
        <v>#N/A</v>
      </c>
      <c r="AP24" s="131" t="str">
        <f>OFFSET(ASISTENCIA!$E$1,MATCH($G24,ASISTENCIA!$E:$E,0)-1,MATCH(AP$1,ASISTENCIA!$3:$3,0)-5,1,1)</f>
        <v>#N/A</v>
      </c>
      <c r="AQ24" s="136" t="str">
        <f>IF(TODAY()&gt;=$AQ$1-6,SUM(OFFSET(DEVO!$F$1,MATCH($G24,DEVO!$E:$E,0)-1,MATCH(AN$1,DEVO!$1:$1,0)-6,1,7)),"")</f>
        <v>#N/A</v>
      </c>
      <c r="AR24" s="131" t="str">
        <f>IF(TODAY()&gt;=$AU$1-6,SUM(OFFSET(ASISTENCIA!$E$1,MATCH($G24,ASISTENCIA!$E:$E,0)-1,MATCH(AR$1,ASISTENCIA!$3:$3,0)-5,1,1)),"")</f>
        <v>#N/A</v>
      </c>
      <c r="AS24" s="131" t="str">
        <f>OFFSET(ASISTENCIA!$E$1,MATCH($G24,ASISTENCIA!$E:$E,0)-1,MATCH(AS$1,ASISTENCIA!$3:$3,0)-5,1,1)</f>
        <v>#N/A</v>
      </c>
      <c r="AT24" s="131" t="str">
        <f>OFFSET(ASISTENCIA!$E$1,MATCH($G24,ASISTENCIA!$E:$E,0)-1,MATCH(AT$1,ASISTENCIA!$3:$3,0)-5,1,1)</f>
        <v>#N/A</v>
      </c>
      <c r="AU24" s="136" t="str">
        <f>IF(TODAY()&gt;=$AU$1-6,SUM(OFFSET(DEVO!$F$1,MATCH($G24,DEVO!$E:$E,0)-1,MATCH(AR$1,DEVO!$1:$1,0)-6,1,7)),"")</f>
        <v>#N/A</v>
      </c>
      <c r="AV24" s="131" t="str">
        <f>OFFSET(ASISTENCIA!$E$1,MATCH($G24,ASISTENCIA!$E:$E,0)-1,MATCH(AV$1,ASISTENCIA!$3:$3,0)-5,1,1)</f>
        <v>#N/A</v>
      </c>
      <c r="AW24" s="131" t="str">
        <f>OFFSET(ASISTENCIA!$E$1,MATCH($G24,ASISTENCIA!$E:$E,0)-1,MATCH(AW$1,ASISTENCIA!$3:$3,0)-5,1,1)</f>
        <v>#N/A</v>
      </c>
      <c r="AY24" s="173">
        <f t="shared" si="2"/>
        <v>0</v>
      </c>
      <c r="AZ24" s="174">
        <f t="shared" si="3"/>
        <v>0</v>
      </c>
      <c r="BA24" s="174">
        <f t="shared" si="4"/>
        <v>0</v>
      </c>
      <c r="BB24" s="174">
        <f t="shared" si="5"/>
        <v>0</v>
      </c>
      <c r="BC24" s="174">
        <f t="shared" si="6"/>
        <v>0</v>
      </c>
      <c r="BD24" s="174">
        <f t="shared" si="7"/>
        <v>0</v>
      </c>
      <c r="BE24" s="174">
        <f t="shared" si="8"/>
        <v>0</v>
      </c>
      <c r="BF24" s="174">
        <f t="shared" si="9"/>
        <v>0</v>
      </c>
      <c r="BG24" s="174">
        <f t="shared" si="10"/>
        <v>0</v>
      </c>
      <c r="BH24" s="152">
        <f t="shared" si="11"/>
        <v>0</v>
      </c>
      <c r="BI24" s="153" t="str">
        <f t="shared" si="12"/>
        <v>OBSERVADOS</v>
      </c>
      <c r="BJ24" s="175" t="str">
        <f t="shared" si="13"/>
        <v>#N/A</v>
      </c>
      <c r="BK24" s="176" t="str">
        <f t="shared" si="14"/>
        <v>#N/A</v>
      </c>
      <c r="BL24" s="176" t="str">
        <f t="shared" si="15"/>
        <v>#N/A</v>
      </c>
      <c r="BM24" s="176" t="str">
        <f t="shared" si="16"/>
        <v>#N/A</v>
      </c>
      <c r="BN24" s="176" t="str">
        <f t="shared" si="17"/>
        <v>#N/A</v>
      </c>
      <c r="BO24" s="176" t="str">
        <f t="shared" si="18"/>
        <v>#N/A</v>
      </c>
      <c r="BP24" s="176" t="str">
        <f t="shared" si="19"/>
        <v>#N/A</v>
      </c>
      <c r="BQ24" s="176" t="str">
        <f t="shared" si="20"/>
        <v>#N/A</v>
      </c>
      <c r="BR24" s="176" t="str">
        <f t="shared" si="21"/>
        <v>#N/A</v>
      </c>
      <c r="BS24" s="207" t="str">
        <f>OFFSET(ASISTENCIA!$E$1,MATCH($G24,ASISTENCIA!$E:$E,0)-1,MATCH(BS$1,ASISTENCIA!$3:$3,0)-5,1,1)</f>
        <v>#N/A</v>
      </c>
      <c r="BT24" s="207" t="str">
        <f>OFFSET(ASISTENCIA!$E$1,MATCH($G24,ASISTENCIA!$E:$E,0)-1,MATCH(BT$1,ASISTENCIA!$3:$3,0)-5,1,1)</f>
        <v>#N/A</v>
      </c>
      <c r="BU24" s="215" t="str">
        <f>OFFSET(ASISTENCIA!$E$1,MATCH($G24,ASISTENCIA!$E:$E,0)-1,MATCH(BU$1,ASISTENCIA!$3:$3,0)-5,1,1)</f>
        <v>#N/A</v>
      </c>
      <c r="BV24" s="215" t="str">
        <f>OFFSET(ASISTENCIA!$E$1,MATCH($G24,ASISTENCIA!$E:$E,0)-1,MATCH(BV$1,ASISTENCIA!$3:$3,0)-5,1,1)</f>
        <v>#N/A</v>
      </c>
      <c r="BW24" s="55"/>
      <c r="BX24" s="55"/>
      <c r="BY24" s="55"/>
    </row>
    <row r="25">
      <c r="A25" s="123">
        <f t="shared" si="22"/>
        <v>22</v>
      </c>
      <c r="B25" s="127"/>
      <c r="C25" s="128"/>
      <c r="D25" s="128"/>
      <c r="E25" s="127"/>
      <c r="F25" s="127"/>
      <c r="G25" s="128"/>
      <c r="H25" s="128"/>
      <c r="I25" s="129"/>
      <c r="J25" s="129" t="str">
        <f>DEVO!F26</f>
        <v/>
      </c>
      <c r="K25" s="129" t="str">
        <f t="shared" si="1"/>
        <v/>
      </c>
      <c r="L25" s="131" t="str">
        <f>IF(TODAY()&gt;=$O$1-6,SUM(OFFSET(ASISTENCIA!$E$1,MATCH($G25,ASISTENCIA!$E:$E,0)-1,MATCH(L$1,ASISTENCIA!$3:$3,0)-5,1,1)),"")</f>
        <v>#N/A</v>
      </c>
      <c r="M25" s="131" t="str">
        <f>OFFSET(ASISTENCIA!$E$1,MATCH($G25,ASISTENCIA!$E:$E,0)-1,MATCH(M$1,ASISTENCIA!$3:$3,0)-5,1,1)</f>
        <v>#N/A</v>
      </c>
      <c r="N25" s="131" t="str">
        <f>OFFSET(ASISTENCIA!$E$1,MATCH($G25,ASISTENCIA!$E:$E,0)-1,MATCH(N$1,ASISTENCIA!$3:$3,0)-5,1,1)</f>
        <v>#N/A</v>
      </c>
      <c r="O25" s="136" t="str">
        <f>IF(TODAY()&gt;=$O$1-6,SUM(OFFSET(DEVO!$F$1,MATCH($G25,DEVO!$E:$E,0)-1,MATCH(L$1,DEVO!$1:$1,0)-6,1,7)),"")</f>
        <v>#N/A</v>
      </c>
      <c r="P25" s="131" t="str">
        <f>IF(TODAY()&gt;=$S$1-6,SUM(OFFSET(ASISTENCIA!$E$1,MATCH($G25,ASISTENCIA!$E:$E,0)-1,MATCH(P$1,ASISTENCIA!$3:$3,0)-5,1,1)),"")</f>
        <v>#N/A</v>
      </c>
      <c r="Q25" s="131" t="str">
        <f>OFFSET(ASISTENCIA!$E$1,MATCH($G25,ASISTENCIA!$E:$E,0)-1,MATCH(Q$1,ASISTENCIA!$3:$3,0)-5,1,1)</f>
        <v>#N/A</v>
      </c>
      <c r="R25" s="131" t="str">
        <f>OFFSET(ASISTENCIA!$E$1,MATCH($G25,ASISTENCIA!$E:$E,0)-1,MATCH(R$1,ASISTENCIA!$3:$3,0)-5,1,1)</f>
        <v>#N/A</v>
      </c>
      <c r="S25" s="136" t="str">
        <f>IF(TODAY()&gt;=$S$1-6,SUM(OFFSET(DEVO!$F$1,MATCH($G25,DEVO!$E:$E,0)-1,MATCH(P$1,DEVO!$1:$1,0)-6,1,7)),"")</f>
        <v>#N/A</v>
      </c>
      <c r="T25" s="131" t="str">
        <f>IF(TODAY()&gt;=$W$1-6,SUM(OFFSET(ASISTENCIA!$E$1,MATCH($G25,ASISTENCIA!$E:$E,0)-1,MATCH(T$1,ASISTENCIA!$3:$3,0)-5,1,1)),"")</f>
        <v>#N/A</v>
      </c>
      <c r="U25" s="131" t="str">
        <f>OFFSET(ASISTENCIA!$E$1,MATCH($G25,ASISTENCIA!$E:$E,0)-1,MATCH(U$1,ASISTENCIA!$3:$3,0)-5,1,1)</f>
        <v>#N/A</v>
      </c>
      <c r="V25" s="131" t="str">
        <f>OFFSET(ASISTENCIA!$E$1,MATCH($G25,ASISTENCIA!$E:$E,0)-1,MATCH(V$1,ASISTENCIA!$3:$3,0)-5,1,1)</f>
        <v>#N/A</v>
      </c>
      <c r="W25" s="136" t="str">
        <f>IF(TODAY()&gt;=$W$1-6,SUM(OFFSET(DEVO!$F$1,MATCH($G25,DEVO!$E:$E,0)-1,MATCH(T$1,DEVO!$1:$1,0)-6,1,7)),"")</f>
        <v>#N/A</v>
      </c>
      <c r="X25" s="131" t="str">
        <f>IF(TODAY()&gt;=$AA$1-6,SUM(OFFSET(ASISTENCIA!$E$1,MATCH($G25,ASISTENCIA!$E:$E,0)-1,MATCH(X$1,ASISTENCIA!$3:$3,0)-5,1,1)),"")</f>
        <v>#N/A</v>
      </c>
      <c r="Y25" s="131" t="str">
        <f>OFFSET(ASISTENCIA!$E$1,MATCH($G25,ASISTENCIA!$E:$E,0)-1,MATCH(Y$1,ASISTENCIA!$3:$3,0)-5,1,1)</f>
        <v>#N/A</v>
      </c>
      <c r="Z25" s="131" t="str">
        <f>OFFSET(ASISTENCIA!$E$1,MATCH($G25,ASISTENCIA!$E:$E,0)-1,MATCH(Z$1,ASISTENCIA!$3:$3,0)-5,1,1)</f>
        <v>#N/A</v>
      </c>
      <c r="AA25" s="136" t="str">
        <f>IF(TODAY()&gt;=$AA$1-6,SUM(OFFSET(DEVO!$F$1,MATCH($G25,DEVO!$E:$E,0)-1,MATCH(X$1,DEVO!$1:$1,0)-6,1,7)),"")</f>
        <v>#N/A</v>
      </c>
      <c r="AB25" s="131" t="str">
        <f>IF(TODAY()&gt;=$AE$1-6,SUM(OFFSET(ASISTENCIA!$E$1,MATCH($G25,ASISTENCIA!$E:$E,0)-1,MATCH(AB$1,ASISTENCIA!$3:$3,0)-5,1,1)),"")</f>
        <v>#N/A</v>
      </c>
      <c r="AC25" s="131" t="str">
        <f>OFFSET(ASISTENCIA!$E$1,MATCH($G25,ASISTENCIA!$E:$E,0)-1,MATCH(AC$1,ASISTENCIA!$3:$3,0)-5,1,1)</f>
        <v>#N/A</v>
      </c>
      <c r="AD25" s="131" t="str">
        <f>OFFSET(ASISTENCIA!$E$1,MATCH($G25,ASISTENCIA!$E:$E,0)-1,MATCH(AD$1,ASISTENCIA!$3:$3,0)-5,1,1)</f>
        <v>#N/A</v>
      </c>
      <c r="AE25" s="136" t="str">
        <f>IF(TODAY()&gt;=$AE$1-6,SUM(OFFSET(DEVO!$F$1,MATCH($G25,DEVO!$E:$E,0)-1,MATCH(AB$1,DEVO!$1:$1,0)-6,1,7)),"")</f>
        <v>#N/A</v>
      </c>
      <c r="AF25" s="131" t="str">
        <f>IF(TODAY()&gt;=$AI$1-6,SUM(OFFSET(ASISTENCIA!$E$1,MATCH($G25,ASISTENCIA!$E:$E,0)-1,MATCH(AF$1,ASISTENCIA!$3:$3,0)-5,1,1)),"")</f>
        <v>#N/A</v>
      </c>
      <c r="AG25" s="131" t="str">
        <f>OFFSET(ASISTENCIA!$E$1,MATCH($G25,ASISTENCIA!$E:$E,0)-1,MATCH(AG$1,ASISTENCIA!$3:$3,0)-5,1,1)</f>
        <v>#N/A</v>
      </c>
      <c r="AH25" s="131" t="str">
        <f>OFFSET(ASISTENCIA!$E$1,MATCH($G25,ASISTENCIA!$E:$E,0)-1,MATCH(AH$1,ASISTENCIA!$3:$3,0)-5,1,1)</f>
        <v>#N/A</v>
      </c>
      <c r="AI25" s="136" t="str">
        <f>IF(TODAY()&gt;=$AI$1-6,SUM(OFFSET(DEVO!$F$1,MATCH($G25,DEVO!$E:$E,0)-1,MATCH(AF$1,DEVO!$1:$1,0)-6,1,7)),"")</f>
        <v>#N/A</v>
      </c>
      <c r="AJ25" s="131" t="str">
        <f>IF(TODAY()&gt;=$AM$1-6,SUM(OFFSET(ASISTENCIA!$E$1,MATCH($G25,ASISTENCIA!$E:$E,0)-1,MATCH(AJ$1,ASISTENCIA!$3:$3,0)-5,1,1)),"")</f>
        <v>#N/A</v>
      </c>
      <c r="AK25" s="131" t="str">
        <f>OFFSET(ASISTENCIA!$E$1,MATCH($G25,ASISTENCIA!$E:$E,0)-1,MATCH(AK$1,ASISTENCIA!$3:$3,0)-5,1,1)</f>
        <v>#N/A</v>
      </c>
      <c r="AL25" s="131" t="str">
        <f>OFFSET(ASISTENCIA!$E$1,MATCH($G25,ASISTENCIA!$E:$E,0)-1,MATCH(AL$1,ASISTENCIA!$3:$3,0)-5,1,1)</f>
        <v>#N/A</v>
      </c>
      <c r="AM25" s="136" t="str">
        <f>IF(TODAY()&gt;=$AM$1-6,SUM(OFFSET(DEVO!$F$1,MATCH($G25,DEVO!$E:$E,0)-1,MATCH(AJ$1,DEVO!$1:$1,0)-6,1,7)),"")</f>
        <v>#N/A</v>
      </c>
      <c r="AN25" s="131" t="str">
        <f>IF(TODAY()&gt;=$AQ$1-6,SUM(OFFSET(ASISTENCIA!$E$1,MATCH($G25,ASISTENCIA!$E:$E,0)-1,MATCH(AN$1,ASISTENCIA!$3:$3,0)-5,1,1)),"")</f>
        <v>#N/A</v>
      </c>
      <c r="AO25" s="131" t="str">
        <f>OFFSET(ASISTENCIA!$E$1,MATCH($G25,ASISTENCIA!$E:$E,0)-1,MATCH(AO$1,ASISTENCIA!$3:$3,0)-5,1,1)</f>
        <v>#N/A</v>
      </c>
      <c r="AP25" s="131" t="str">
        <f>OFFSET(ASISTENCIA!$E$1,MATCH($G25,ASISTENCIA!$E:$E,0)-1,MATCH(AP$1,ASISTENCIA!$3:$3,0)-5,1,1)</f>
        <v>#N/A</v>
      </c>
      <c r="AQ25" s="136" t="str">
        <f>IF(TODAY()&gt;=$AQ$1-6,SUM(OFFSET(DEVO!$F$1,MATCH($G25,DEVO!$E:$E,0)-1,MATCH(AN$1,DEVO!$1:$1,0)-6,1,7)),"")</f>
        <v>#N/A</v>
      </c>
      <c r="AR25" s="131" t="str">
        <f>IF(TODAY()&gt;=$AU$1-6,SUM(OFFSET(ASISTENCIA!$E$1,MATCH($G25,ASISTENCIA!$E:$E,0)-1,MATCH(AR$1,ASISTENCIA!$3:$3,0)-5,1,1)),"")</f>
        <v>#N/A</v>
      </c>
      <c r="AS25" s="131" t="str">
        <f>OFFSET(ASISTENCIA!$E$1,MATCH($G25,ASISTENCIA!$E:$E,0)-1,MATCH(AS$1,ASISTENCIA!$3:$3,0)-5,1,1)</f>
        <v>#N/A</v>
      </c>
      <c r="AT25" s="131" t="str">
        <f>OFFSET(ASISTENCIA!$E$1,MATCH($G25,ASISTENCIA!$E:$E,0)-1,MATCH(AT$1,ASISTENCIA!$3:$3,0)-5,1,1)</f>
        <v>#N/A</v>
      </c>
      <c r="AU25" s="136" t="str">
        <f>IF(TODAY()&gt;=$AU$1-6,SUM(OFFSET(DEVO!$F$1,MATCH($G25,DEVO!$E:$E,0)-1,MATCH(AR$1,DEVO!$1:$1,0)-6,1,7)),"")</f>
        <v>#N/A</v>
      </c>
      <c r="AV25" s="131" t="str">
        <f>OFFSET(ASISTENCIA!$E$1,MATCH($G25,ASISTENCIA!$E:$E,0)-1,MATCH(AV$1,ASISTENCIA!$3:$3,0)-5,1,1)</f>
        <v>#N/A</v>
      </c>
      <c r="AW25" s="131" t="str">
        <f>OFFSET(ASISTENCIA!$E$1,MATCH($G25,ASISTENCIA!$E:$E,0)-1,MATCH(AW$1,ASISTENCIA!$3:$3,0)-5,1,1)</f>
        <v>#N/A</v>
      </c>
      <c r="AY25" s="173">
        <f t="shared" si="2"/>
        <v>0</v>
      </c>
      <c r="AZ25" s="174">
        <f t="shared" si="3"/>
        <v>0</v>
      </c>
      <c r="BA25" s="174">
        <f t="shared" si="4"/>
        <v>0</v>
      </c>
      <c r="BB25" s="174">
        <f t="shared" si="5"/>
        <v>0</v>
      </c>
      <c r="BC25" s="174">
        <f t="shared" si="6"/>
        <v>0</v>
      </c>
      <c r="BD25" s="174">
        <f t="shared" si="7"/>
        <v>0</v>
      </c>
      <c r="BE25" s="174">
        <f t="shared" si="8"/>
        <v>0</v>
      </c>
      <c r="BF25" s="174">
        <f t="shared" si="9"/>
        <v>0</v>
      </c>
      <c r="BG25" s="174">
        <f t="shared" si="10"/>
        <v>0</v>
      </c>
      <c r="BH25" s="152">
        <f t="shared" si="11"/>
        <v>0</v>
      </c>
      <c r="BI25" s="153" t="str">
        <f t="shared" si="12"/>
        <v>OBSERVADOS</v>
      </c>
      <c r="BJ25" s="175" t="str">
        <f t="shared" si="13"/>
        <v>#N/A</v>
      </c>
      <c r="BK25" s="176" t="str">
        <f t="shared" si="14"/>
        <v>#N/A</v>
      </c>
      <c r="BL25" s="176" t="str">
        <f t="shared" si="15"/>
        <v>#N/A</v>
      </c>
      <c r="BM25" s="176" t="str">
        <f t="shared" si="16"/>
        <v>#N/A</v>
      </c>
      <c r="BN25" s="176" t="str">
        <f t="shared" si="17"/>
        <v>#N/A</v>
      </c>
      <c r="BO25" s="176" t="str">
        <f t="shared" si="18"/>
        <v>#N/A</v>
      </c>
      <c r="BP25" s="176" t="str">
        <f t="shared" si="19"/>
        <v>#N/A</v>
      </c>
      <c r="BQ25" s="176" t="str">
        <f t="shared" si="20"/>
        <v>#N/A</v>
      </c>
      <c r="BR25" s="176" t="str">
        <f t="shared" si="21"/>
        <v>#N/A</v>
      </c>
      <c r="BS25" s="207" t="str">
        <f>OFFSET(ASISTENCIA!$E$1,MATCH($G25,ASISTENCIA!$E:$E,0)-1,MATCH(BS$1,ASISTENCIA!$3:$3,0)-5,1,1)</f>
        <v>#N/A</v>
      </c>
      <c r="BT25" s="207" t="str">
        <f>OFFSET(ASISTENCIA!$E$1,MATCH($G25,ASISTENCIA!$E:$E,0)-1,MATCH(BT$1,ASISTENCIA!$3:$3,0)-5,1,1)</f>
        <v>#N/A</v>
      </c>
      <c r="BU25" s="215" t="str">
        <f>OFFSET(ASISTENCIA!$E$1,MATCH($G25,ASISTENCIA!$E:$E,0)-1,MATCH(BU$1,ASISTENCIA!$3:$3,0)-5,1,1)</f>
        <v>#N/A</v>
      </c>
      <c r="BV25" s="215" t="str">
        <f>OFFSET(ASISTENCIA!$E$1,MATCH($G25,ASISTENCIA!$E:$E,0)-1,MATCH(BV$1,ASISTENCIA!$3:$3,0)-5,1,1)</f>
        <v>#N/A</v>
      </c>
      <c r="BW25" s="55"/>
      <c r="BX25" s="55"/>
      <c r="BY25" s="55"/>
    </row>
    <row r="26">
      <c r="A26" s="123">
        <f t="shared" si="22"/>
        <v>23</v>
      </c>
      <c r="B26" s="127"/>
      <c r="C26" s="128"/>
      <c r="D26" s="128"/>
      <c r="E26" s="127"/>
      <c r="F26" s="127"/>
      <c r="G26" s="128"/>
      <c r="H26" s="128"/>
      <c r="I26" s="129"/>
      <c r="J26" s="129" t="str">
        <f>DEVO!F27</f>
        <v/>
      </c>
      <c r="K26" s="129" t="str">
        <f t="shared" si="1"/>
        <v/>
      </c>
      <c r="L26" s="131" t="str">
        <f>IF(TODAY()&gt;=$O$1-6,SUM(OFFSET(ASISTENCIA!$E$1,MATCH($G26,ASISTENCIA!$E:$E,0)-1,MATCH(L$1,ASISTENCIA!$3:$3,0)-5,1,1)),"")</f>
        <v>#N/A</v>
      </c>
      <c r="M26" s="131" t="str">
        <f>OFFSET(ASISTENCIA!$E$1,MATCH($G26,ASISTENCIA!$E:$E,0)-1,MATCH(M$1,ASISTENCIA!$3:$3,0)-5,1,1)</f>
        <v>#N/A</v>
      </c>
      <c r="N26" s="131" t="str">
        <f>OFFSET(ASISTENCIA!$E$1,MATCH($G26,ASISTENCIA!$E:$E,0)-1,MATCH(N$1,ASISTENCIA!$3:$3,0)-5,1,1)</f>
        <v>#N/A</v>
      </c>
      <c r="O26" s="136" t="str">
        <f>IF(TODAY()&gt;=$O$1-6,SUM(OFFSET(DEVO!$F$1,MATCH($G26,DEVO!$E:$E,0)-1,MATCH(L$1,DEVO!$1:$1,0)-6,1,7)),"")</f>
        <v>#N/A</v>
      </c>
      <c r="P26" s="131" t="str">
        <f>IF(TODAY()&gt;=$S$1-6,SUM(OFFSET(ASISTENCIA!$E$1,MATCH($G26,ASISTENCIA!$E:$E,0)-1,MATCH(P$1,ASISTENCIA!$3:$3,0)-5,1,1)),"")</f>
        <v>#N/A</v>
      </c>
      <c r="Q26" s="131" t="str">
        <f>OFFSET(ASISTENCIA!$E$1,MATCH($G26,ASISTENCIA!$E:$E,0)-1,MATCH(Q$1,ASISTENCIA!$3:$3,0)-5,1,1)</f>
        <v>#N/A</v>
      </c>
      <c r="R26" s="131" t="str">
        <f>OFFSET(ASISTENCIA!$E$1,MATCH($G26,ASISTENCIA!$E:$E,0)-1,MATCH(R$1,ASISTENCIA!$3:$3,0)-5,1,1)</f>
        <v>#N/A</v>
      </c>
      <c r="S26" s="136" t="str">
        <f>IF(TODAY()&gt;=$S$1-6,SUM(OFFSET(DEVO!$F$1,MATCH($G26,DEVO!$E:$E,0)-1,MATCH(P$1,DEVO!$1:$1,0)-6,1,7)),"")</f>
        <v>#N/A</v>
      </c>
      <c r="T26" s="131" t="str">
        <f>IF(TODAY()&gt;=$W$1-6,SUM(OFFSET(ASISTENCIA!$E$1,MATCH($G26,ASISTENCIA!$E:$E,0)-1,MATCH(T$1,ASISTENCIA!$3:$3,0)-5,1,1)),"")</f>
        <v>#N/A</v>
      </c>
      <c r="U26" s="131" t="str">
        <f>OFFSET(ASISTENCIA!$E$1,MATCH($G26,ASISTENCIA!$E:$E,0)-1,MATCH(U$1,ASISTENCIA!$3:$3,0)-5,1,1)</f>
        <v>#N/A</v>
      </c>
      <c r="V26" s="131" t="str">
        <f>OFFSET(ASISTENCIA!$E$1,MATCH($G26,ASISTENCIA!$E:$E,0)-1,MATCH(V$1,ASISTENCIA!$3:$3,0)-5,1,1)</f>
        <v>#N/A</v>
      </c>
      <c r="W26" s="136" t="str">
        <f>IF(TODAY()&gt;=$W$1-6,SUM(OFFSET(DEVO!$F$1,MATCH($G26,DEVO!$E:$E,0)-1,MATCH(T$1,DEVO!$1:$1,0)-6,1,7)),"")</f>
        <v>#N/A</v>
      </c>
      <c r="X26" s="131" t="str">
        <f>IF(TODAY()&gt;=$AA$1-6,SUM(OFFSET(ASISTENCIA!$E$1,MATCH($G26,ASISTENCIA!$E:$E,0)-1,MATCH(X$1,ASISTENCIA!$3:$3,0)-5,1,1)),"")</f>
        <v>#N/A</v>
      </c>
      <c r="Y26" s="131" t="str">
        <f>OFFSET(ASISTENCIA!$E$1,MATCH($G26,ASISTENCIA!$E:$E,0)-1,MATCH(Y$1,ASISTENCIA!$3:$3,0)-5,1,1)</f>
        <v>#N/A</v>
      </c>
      <c r="Z26" s="131" t="str">
        <f>OFFSET(ASISTENCIA!$E$1,MATCH($G26,ASISTENCIA!$E:$E,0)-1,MATCH(Z$1,ASISTENCIA!$3:$3,0)-5,1,1)</f>
        <v>#N/A</v>
      </c>
      <c r="AA26" s="136" t="str">
        <f>IF(TODAY()&gt;=$AA$1-6,SUM(OFFSET(DEVO!$F$1,MATCH($G26,DEVO!$E:$E,0)-1,MATCH(X$1,DEVO!$1:$1,0)-6,1,7)),"")</f>
        <v>#N/A</v>
      </c>
      <c r="AB26" s="131" t="str">
        <f>IF(TODAY()&gt;=$AE$1-6,SUM(OFFSET(ASISTENCIA!$E$1,MATCH($G26,ASISTENCIA!$E:$E,0)-1,MATCH(AB$1,ASISTENCIA!$3:$3,0)-5,1,1)),"")</f>
        <v>#N/A</v>
      </c>
      <c r="AC26" s="131" t="str">
        <f>OFFSET(ASISTENCIA!$E$1,MATCH($G26,ASISTENCIA!$E:$E,0)-1,MATCH(AC$1,ASISTENCIA!$3:$3,0)-5,1,1)</f>
        <v>#N/A</v>
      </c>
      <c r="AD26" s="131" t="str">
        <f>OFFSET(ASISTENCIA!$E$1,MATCH($G26,ASISTENCIA!$E:$E,0)-1,MATCH(AD$1,ASISTENCIA!$3:$3,0)-5,1,1)</f>
        <v>#N/A</v>
      </c>
      <c r="AE26" s="136" t="str">
        <f>IF(TODAY()&gt;=$AE$1-6,SUM(OFFSET(DEVO!$F$1,MATCH($G26,DEVO!$E:$E,0)-1,MATCH(AB$1,DEVO!$1:$1,0)-6,1,7)),"")</f>
        <v>#N/A</v>
      </c>
      <c r="AF26" s="131" t="str">
        <f>IF(TODAY()&gt;=$AI$1-6,SUM(OFFSET(ASISTENCIA!$E$1,MATCH($G26,ASISTENCIA!$E:$E,0)-1,MATCH(AF$1,ASISTENCIA!$3:$3,0)-5,1,1)),"")</f>
        <v>#N/A</v>
      </c>
      <c r="AG26" s="131" t="str">
        <f>OFFSET(ASISTENCIA!$E$1,MATCH($G26,ASISTENCIA!$E:$E,0)-1,MATCH(AG$1,ASISTENCIA!$3:$3,0)-5,1,1)</f>
        <v>#N/A</v>
      </c>
      <c r="AH26" s="131" t="str">
        <f>OFFSET(ASISTENCIA!$E$1,MATCH($G26,ASISTENCIA!$E:$E,0)-1,MATCH(AH$1,ASISTENCIA!$3:$3,0)-5,1,1)</f>
        <v>#N/A</v>
      </c>
      <c r="AI26" s="136" t="str">
        <f>IF(TODAY()&gt;=$AI$1-6,SUM(OFFSET(DEVO!$F$1,MATCH($G26,DEVO!$E:$E,0)-1,MATCH(AF$1,DEVO!$1:$1,0)-6,1,7)),"")</f>
        <v>#N/A</v>
      </c>
      <c r="AJ26" s="131" t="str">
        <f>IF(TODAY()&gt;=$AM$1-6,SUM(OFFSET(ASISTENCIA!$E$1,MATCH($G26,ASISTENCIA!$E:$E,0)-1,MATCH(AJ$1,ASISTENCIA!$3:$3,0)-5,1,1)),"")</f>
        <v>#N/A</v>
      </c>
      <c r="AK26" s="131" t="str">
        <f>OFFSET(ASISTENCIA!$E$1,MATCH($G26,ASISTENCIA!$E:$E,0)-1,MATCH(AK$1,ASISTENCIA!$3:$3,0)-5,1,1)</f>
        <v>#N/A</v>
      </c>
      <c r="AL26" s="131" t="str">
        <f>OFFSET(ASISTENCIA!$E$1,MATCH($G26,ASISTENCIA!$E:$E,0)-1,MATCH(AL$1,ASISTENCIA!$3:$3,0)-5,1,1)</f>
        <v>#N/A</v>
      </c>
      <c r="AM26" s="136" t="str">
        <f>IF(TODAY()&gt;=$AM$1-6,SUM(OFFSET(DEVO!$F$1,MATCH($G26,DEVO!$E:$E,0)-1,MATCH(AJ$1,DEVO!$1:$1,0)-6,1,7)),"")</f>
        <v>#N/A</v>
      </c>
      <c r="AN26" s="131" t="str">
        <f>IF(TODAY()&gt;=$AQ$1-6,SUM(OFFSET(ASISTENCIA!$E$1,MATCH($G26,ASISTENCIA!$E:$E,0)-1,MATCH(AN$1,ASISTENCIA!$3:$3,0)-5,1,1)),"")</f>
        <v>#N/A</v>
      </c>
      <c r="AO26" s="131" t="str">
        <f>OFFSET(ASISTENCIA!$E$1,MATCH($G26,ASISTENCIA!$E:$E,0)-1,MATCH(AO$1,ASISTENCIA!$3:$3,0)-5,1,1)</f>
        <v>#N/A</v>
      </c>
      <c r="AP26" s="131" t="str">
        <f>OFFSET(ASISTENCIA!$E$1,MATCH($G26,ASISTENCIA!$E:$E,0)-1,MATCH(AP$1,ASISTENCIA!$3:$3,0)-5,1,1)</f>
        <v>#N/A</v>
      </c>
      <c r="AQ26" s="136" t="str">
        <f>IF(TODAY()&gt;=$AQ$1-6,SUM(OFFSET(DEVO!$F$1,MATCH($G26,DEVO!$E:$E,0)-1,MATCH(AN$1,DEVO!$1:$1,0)-6,1,7)),"")</f>
        <v>#N/A</v>
      </c>
      <c r="AR26" s="131" t="str">
        <f>IF(TODAY()&gt;=$AU$1-6,SUM(OFFSET(ASISTENCIA!$E$1,MATCH($G26,ASISTENCIA!$E:$E,0)-1,MATCH(AR$1,ASISTENCIA!$3:$3,0)-5,1,1)),"")</f>
        <v>#N/A</v>
      </c>
      <c r="AS26" s="131" t="str">
        <f>OFFSET(ASISTENCIA!$E$1,MATCH($G26,ASISTENCIA!$E:$E,0)-1,MATCH(AS$1,ASISTENCIA!$3:$3,0)-5,1,1)</f>
        <v>#N/A</v>
      </c>
      <c r="AT26" s="131" t="str">
        <f>OFFSET(ASISTENCIA!$E$1,MATCH($G26,ASISTENCIA!$E:$E,0)-1,MATCH(AT$1,ASISTENCIA!$3:$3,0)-5,1,1)</f>
        <v>#N/A</v>
      </c>
      <c r="AU26" s="136" t="str">
        <f>IF(TODAY()&gt;=$AU$1-6,SUM(OFFSET(DEVO!$F$1,MATCH($G26,DEVO!$E:$E,0)-1,MATCH(AR$1,DEVO!$1:$1,0)-6,1,7)),"")</f>
        <v>#N/A</v>
      </c>
      <c r="AV26" s="131" t="str">
        <f>OFFSET(ASISTENCIA!$E$1,MATCH($G26,ASISTENCIA!$E:$E,0)-1,MATCH(AV$1,ASISTENCIA!$3:$3,0)-5,1,1)</f>
        <v>#N/A</v>
      </c>
      <c r="AW26" s="131" t="str">
        <f>OFFSET(ASISTENCIA!$E$1,MATCH($G26,ASISTENCIA!$E:$E,0)-1,MATCH(AW$1,ASISTENCIA!$3:$3,0)-5,1,1)</f>
        <v>#N/A</v>
      </c>
      <c r="AY26" s="173">
        <f t="shared" si="2"/>
        <v>0</v>
      </c>
      <c r="AZ26" s="174">
        <f t="shared" si="3"/>
        <v>0</v>
      </c>
      <c r="BA26" s="174">
        <f t="shared" si="4"/>
        <v>0</v>
      </c>
      <c r="BB26" s="174">
        <f t="shared" si="5"/>
        <v>0</v>
      </c>
      <c r="BC26" s="174">
        <f t="shared" si="6"/>
        <v>0</v>
      </c>
      <c r="BD26" s="174">
        <f t="shared" si="7"/>
        <v>0</v>
      </c>
      <c r="BE26" s="174">
        <f t="shared" si="8"/>
        <v>0</v>
      </c>
      <c r="BF26" s="174">
        <f t="shared" si="9"/>
        <v>0</v>
      </c>
      <c r="BG26" s="174">
        <f t="shared" si="10"/>
        <v>0</v>
      </c>
      <c r="BH26" s="152">
        <f t="shared" si="11"/>
        <v>0</v>
      </c>
      <c r="BI26" s="153" t="str">
        <f t="shared" si="12"/>
        <v>OBSERVADOS</v>
      </c>
      <c r="BJ26" s="175" t="str">
        <f t="shared" si="13"/>
        <v>#N/A</v>
      </c>
      <c r="BK26" s="176" t="str">
        <f t="shared" si="14"/>
        <v>#N/A</v>
      </c>
      <c r="BL26" s="176" t="str">
        <f t="shared" si="15"/>
        <v>#N/A</v>
      </c>
      <c r="BM26" s="176" t="str">
        <f t="shared" si="16"/>
        <v>#N/A</v>
      </c>
      <c r="BN26" s="176" t="str">
        <f t="shared" si="17"/>
        <v>#N/A</v>
      </c>
      <c r="BO26" s="176" t="str">
        <f t="shared" si="18"/>
        <v>#N/A</v>
      </c>
      <c r="BP26" s="176" t="str">
        <f t="shared" si="19"/>
        <v>#N/A</v>
      </c>
      <c r="BQ26" s="176" t="str">
        <f t="shared" si="20"/>
        <v>#N/A</v>
      </c>
      <c r="BR26" s="176" t="str">
        <f t="shared" si="21"/>
        <v>#N/A</v>
      </c>
      <c r="BS26" s="207" t="str">
        <f>OFFSET(ASISTENCIA!$E$1,MATCH($G26,ASISTENCIA!$E:$E,0)-1,MATCH(BS$1,ASISTENCIA!$3:$3,0)-5,1,1)</f>
        <v>#N/A</v>
      </c>
      <c r="BT26" s="207" t="str">
        <f>OFFSET(ASISTENCIA!$E$1,MATCH($G26,ASISTENCIA!$E:$E,0)-1,MATCH(BT$1,ASISTENCIA!$3:$3,0)-5,1,1)</f>
        <v>#N/A</v>
      </c>
      <c r="BU26" s="215" t="str">
        <f>OFFSET(ASISTENCIA!$E$1,MATCH($G26,ASISTENCIA!$E:$E,0)-1,MATCH(BU$1,ASISTENCIA!$3:$3,0)-5,1,1)</f>
        <v>#N/A</v>
      </c>
      <c r="BV26" s="215" t="str">
        <f>OFFSET(ASISTENCIA!$E$1,MATCH($G26,ASISTENCIA!$E:$E,0)-1,MATCH(BV$1,ASISTENCIA!$3:$3,0)-5,1,1)</f>
        <v>#N/A</v>
      </c>
      <c r="BW26" s="55"/>
      <c r="BX26" s="55"/>
      <c r="BY26" s="55"/>
    </row>
    <row r="27">
      <c r="A27" s="123">
        <f t="shared" si="22"/>
        <v>24</v>
      </c>
      <c r="B27" s="127"/>
      <c r="C27" s="128"/>
      <c r="D27" s="128"/>
      <c r="E27" s="127"/>
      <c r="F27" s="127"/>
      <c r="G27" s="128"/>
      <c r="H27" s="128"/>
      <c r="I27" s="129"/>
      <c r="J27" s="129" t="str">
        <f>DEVO!F28</f>
        <v/>
      </c>
      <c r="K27" s="129" t="str">
        <f t="shared" si="1"/>
        <v/>
      </c>
      <c r="L27" s="131" t="str">
        <f>IF(TODAY()&gt;=$O$1-6,SUM(OFFSET(ASISTENCIA!$E$1,MATCH($G27,ASISTENCIA!$E:$E,0)-1,MATCH(L$1,ASISTENCIA!$3:$3,0)-5,1,1)),"")</f>
        <v>#N/A</v>
      </c>
      <c r="M27" s="131" t="str">
        <f>OFFSET(ASISTENCIA!$E$1,MATCH($G27,ASISTENCIA!$E:$E,0)-1,MATCH(M$1,ASISTENCIA!$3:$3,0)-5,1,1)</f>
        <v>#N/A</v>
      </c>
      <c r="N27" s="131" t="str">
        <f>OFFSET(ASISTENCIA!$E$1,MATCH($G27,ASISTENCIA!$E:$E,0)-1,MATCH(N$1,ASISTENCIA!$3:$3,0)-5,1,1)</f>
        <v>#N/A</v>
      </c>
      <c r="O27" s="136" t="str">
        <f>IF(TODAY()&gt;=$O$1-6,SUM(OFFSET(DEVO!$F$1,MATCH($G27,DEVO!$E:$E,0)-1,MATCH(L$1,DEVO!$1:$1,0)-6,1,7)),"")</f>
        <v>#N/A</v>
      </c>
      <c r="P27" s="131" t="str">
        <f>IF(TODAY()&gt;=$S$1-6,SUM(OFFSET(ASISTENCIA!$E$1,MATCH($G27,ASISTENCIA!$E:$E,0)-1,MATCH(P$1,ASISTENCIA!$3:$3,0)-5,1,1)),"")</f>
        <v>#N/A</v>
      </c>
      <c r="Q27" s="131" t="str">
        <f>OFFSET(ASISTENCIA!$E$1,MATCH($G27,ASISTENCIA!$E:$E,0)-1,MATCH(Q$1,ASISTENCIA!$3:$3,0)-5,1,1)</f>
        <v>#N/A</v>
      </c>
      <c r="R27" s="131" t="str">
        <f>OFFSET(ASISTENCIA!$E$1,MATCH($G27,ASISTENCIA!$E:$E,0)-1,MATCH(R$1,ASISTENCIA!$3:$3,0)-5,1,1)</f>
        <v>#N/A</v>
      </c>
      <c r="S27" s="136" t="str">
        <f>IF(TODAY()&gt;=$S$1-6,SUM(OFFSET(DEVO!$F$1,MATCH($G27,DEVO!$E:$E,0)-1,MATCH(P$1,DEVO!$1:$1,0)-6,1,7)),"")</f>
        <v>#N/A</v>
      </c>
      <c r="T27" s="131" t="str">
        <f>IF(TODAY()&gt;=$W$1-6,SUM(OFFSET(ASISTENCIA!$E$1,MATCH($G27,ASISTENCIA!$E:$E,0)-1,MATCH(T$1,ASISTENCIA!$3:$3,0)-5,1,1)),"")</f>
        <v>#N/A</v>
      </c>
      <c r="U27" s="131" t="str">
        <f>OFFSET(ASISTENCIA!$E$1,MATCH($G27,ASISTENCIA!$E:$E,0)-1,MATCH(U$1,ASISTENCIA!$3:$3,0)-5,1,1)</f>
        <v>#N/A</v>
      </c>
      <c r="V27" s="131" t="str">
        <f>OFFSET(ASISTENCIA!$E$1,MATCH($G27,ASISTENCIA!$E:$E,0)-1,MATCH(V$1,ASISTENCIA!$3:$3,0)-5,1,1)</f>
        <v>#N/A</v>
      </c>
      <c r="W27" s="136" t="str">
        <f>IF(TODAY()&gt;=$W$1-6,SUM(OFFSET(DEVO!$F$1,MATCH($G27,DEVO!$E:$E,0)-1,MATCH(T$1,DEVO!$1:$1,0)-6,1,7)),"")</f>
        <v>#N/A</v>
      </c>
      <c r="X27" s="131" t="str">
        <f>IF(TODAY()&gt;=$AA$1-6,SUM(OFFSET(ASISTENCIA!$E$1,MATCH($G27,ASISTENCIA!$E:$E,0)-1,MATCH(X$1,ASISTENCIA!$3:$3,0)-5,1,1)),"")</f>
        <v>#N/A</v>
      </c>
      <c r="Y27" s="131" t="str">
        <f>OFFSET(ASISTENCIA!$E$1,MATCH($G27,ASISTENCIA!$E:$E,0)-1,MATCH(Y$1,ASISTENCIA!$3:$3,0)-5,1,1)</f>
        <v>#N/A</v>
      </c>
      <c r="Z27" s="131" t="str">
        <f>OFFSET(ASISTENCIA!$E$1,MATCH($G27,ASISTENCIA!$E:$E,0)-1,MATCH(Z$1,ASISTENCIA!$3:$3,0)-5,1,1)</f>
        <v>#N/A</v>
      </c>
      <c r="AA27" s="136" t="str">
        <f>IF(TODAY()&gt;=$AA$1-6,SUM(OFFSET(DEVO!$F$1,MATCH($G27,DEVO!$E:$E,0)-1,MATCH(X$1,DEVO!$1:$1,0)-6,1,7)),"")</f>
        <v>#N/A</v>
      </c>
      <c r="AB27" s="131" t="str">
        <f>IF(TODAY()&gt;=$AE$1-6,SUM(OFFSET(ASISTENCIA!$E$1,MATCH($G27,ASISTENCIA!$E:$E,0)-1,MATCH(AB$1,ASISTENCIA!$3:$3,0)-5,1,1)),"")</f>
        <v>#N/A</v>
      </c>
      <c r="AC27" s="131" t="str">
        <f>OFFSET(ASISTENCIA!$E$1,MATCH($G27,ASISTENCIA!$E:$E,0)-1,MATCH(AC$1,ASISTENCIA!$3:$3,0)-5,1,1)</f>
        <v>#N/A</v>
      </c>
      <c r="AD27" s="131" t="str">
        <f>OFFSET(ASISTENCIA!$E$1,MATCH($G27,ASISTENCIA!$E:$E,0)-1,MATCH(AD$1,ASISTENCIA!$3:$3,0)-5,1,1)</f>
        <v>#N/A</v>
      </c>
      <c r="AE27" s="136" t="str">
        <f>IF(TODAY()&gt;=$AE$1-6,SUM(OFFSET(DEVO!$F$1,MATCH($G27,DEVO!$E:$E,0)-1,MATCH(AB$1,DEVO!$1:$1,0)-6,1,7)),"")</f>
        <v>#N/A</v>
      </c>
      <c r="AF27" s="131" t="str">
        <f>IF(TODAY()&gt;=$AI$1-6,SUM(OFFSET(ASISTENCIA!$E$1,MATCH($G27,ASISTENCIA!$E:$E,0)-1,MATCH(AF$1,ASISTENCIA!$3:$3,0)-5,1,1)),"")</f>
        <v>#N/A</v>
      </c>
      <c r="AG27" s="131" t="str">
        <f>OFFSET(ASISTENCIA!$E$1,MATCH($G27,ASISTENCIA!$E:$E,0)-1,MATCH(AG$1,ASISTENCIA!$3:$3,0)-5,1,1)</f>
        <v>#N/A</v>
      </c>
      <c r="AH27" s="131" t="str">
        <f>OFFSET(ASISTENCIA!$E$1,MATCH($G27,ASISTENCIA!$E:$E,0)-1,MATCH(AH$1,ASISTENCIA!$3:$3,0)-5,1,1)</f>
        <v>#N/A</v>
      </c>
      <c r="AI27" s="136" t="str">
        <f>IF(TODAY()&gt;=$AI$1-6,SUM(OFFSET(DEVO!$F$1,MATCH($G27,DEVO!$E:$E,0)-1,MATCH(AF$1,DEVO!$1:$1,0)-6,1,7)),"")</f>
        <v>#N/A</v>
      </c>
      <c r="AJ27" s="131" t="str">
        <f>IF(TODAY()&gt;=$AM$1-6,SUM(OFFSET(ASISTENCIA!$E$1,MATCH($G27,ASISTENCIA!$E:$E,0)-1,MATCH(AJ$1,ASISTENCIA!$3:$3,0)-5,1,1)),"")</f>
        <v>#N/A</v>
      </c>
      <c r="AK27" s="131" t="str">
        <f>OFFSET(ASISTENCIA!$E$1,MATCH($G27,ASISTENCIA!$E:$E,0)-1,MATCH(AK$1,ASISTENCIA!$3:$3,0)-5,1,1)</f>
        <v>#N/A</v>
      </c>
      <c r="AL27" s="131" t="str">
        <f>OFFSET(ASISTENCIA!$E$1,MATCH($G27,ASISTENCIA!$E:$E,0)-1,MATCH(AL$1,ASISTENCIA!$3:$3,0)-5,1,1)</f>
        <v>#N/A</v>
      </c>
      <c r="AM27" s="136" t="str">
        <f>IF(TODAY()&gt;=$AM$1-6,SUM(OFFSET(DEVO!$F$1,MATCH($G27,DEVO!$E:$E,0)-1,MATCH(AJ$1,DEVO!$1:$1,0)-6,1,7)),"")</f>
        <v>#N/A</v>
      </c>
      <c r="AN27" s="131" t="str">
        <f>IF(TODAY()&gt;=$AQ$1-6,SUM(OFFSET(ASISTENCIA!$E$1,MATCH($G27,ASISTENCIA!$E:$E,0)-1,MATCH(AN$1,ASISTENCIA!$3:$3,0)-5,1,1)),"")</f>
        <v>#N/A</v>
      </c>
      <c r="AO27" s="131" t="str">
        <f>OFFSET(ASISTENCIA!$E$1,MATCH($G27,ASISTENCIA!$E:$E,0)-1,MATCH(AO$1,ASISTENCIA!$3:$3,0)-5,1,1)</f>
        <v>#N/A</v>
      </c>
      <c r="AP27" s="131" t="str">
        <f>OFFSET(ASISTENCIA!$E$1,MATCH($G27,ASISTENCIA!$E:$E,0)-1,MATCH(AP$1,ASISTENCIA!$3:$3,0)-5,1,1)</f>
        <v>#N/A</v>
      </c>
      <c r="AQ27" s="136" t="str">
        <f>IF(TODAY()&gt;=$AQ$1-6,SUM(OFFSET(DEVO!$F$1,MATCH($G27,DEVO!$E:$E,0)-1,MATCH(AN$1,DEVO!$1:$1,0)-6,1,7)),"")</f>
        <v>#N/A</v>
      </c>
      <c r="AR27" s="131" t="str">
        <f>IF(TODAY()&gt;=$AU$1-6,SUM(OFFSET(ASISTENCIA!$E$1,MATCH($G27,ASISTENCIA!$E:$E,0)-1,MATCH(AR$1,ASISTENCIA!$3:$3,0)-5,1,1)),"")</f>
        <v>#N/A</v>
      </c>
      <c r="AS27" s="131" t="str">
        <f>OFFSET(ASISTENCIA!$E$1,MATCH($G27,ASISTENCIA!$E:$E,0)-1,MATCH(AS$1,ASISTENCIA!$3:$3,0)-5,1,1)</f>
        <v>#N/A</v>
      </c>
      <c r="AT27" s="131" t="str">
        <f>OFFSET(ASISTENCIA!$E$1,MATCH($G27,ASISTENCIA!$E:$E,0)-1,MATCH(AT$1,ASISTENCIA!$3:$3,0)-5,1,1)</f>
        <v>#N/A</v>
      </c>
      <c r="AU27" s="136" t="str">
        <f>IF(TODAY()&gt;=$AU$1-6,SUM(OFFSET(DEVO!$F$1,MATCH($G27,DEVO!$E:$E,0)-1,MATCH(AR$1,DEVO!$1:$1,0)-6,1,7)),"")</f>
        <v>#N/A</v>
      </c>
      <c r="AV27" s="131" t="str">
        <f>OFFSET(ASISTENCIA!$E$1,MATCH($G27,ASISTENCIA!$E:$E,0)-1,MATCH(AV$1,ASISTENCIA!$3:$3,0)-5,1,1)</f>
        <v>#N/A</v>
      </c>
      <c r="AW27" s="131" t="str">
        <f>OFFSET(ASISTENCIA!$E$1,MATCH($G27,ASISTENCIA!$E:$E,0)-1,MATCH(AW$1,ASISTENCIA!$3:$3,0)-5,1,1)</f>
        <v>#N/A</v>
      </c>
      <c r="AY27" s="173">
        <f t="shared" si="2"/>
        <v>0</v>
      </c>
      <c r="AZ27" s="174">
        <f t="shared" si="3"/>
        <v>0</v>
      </c>
      <c r="BA27" s="174">
        <f t="shared" si="4"/>
        <v>0</v>
      </c>
      <c r="BB27" s="174">
        <f t="shared" si="5"/>
        <v>0</v>
      </c>
      <c r="BC27" s="174">
        <f t="shared" si="6"/>
        <v>0</v>
      </c>
      <c r="BD27" s="174">
        <f t="shared" si="7"/>
        <v>0</v>
      </c>
      <c r="BE27" s="174">
        <f t="shared" si="8"/>
        <v>0</v>
      </c>
      <c r="BF27" s="174">
        <f t="shared" si="9"/>
        <v>0</v>
      </c>
      <c r="BG27" s="174">
        <f t="shared" si="10"/>
        <v>0</v>
      </c>
      <c r="BH27" s="152">
        <f t="shared" si="11"/>
        <v>0</v>
      </c>
      <c r="BI27" s="153" t="str">
        <f t="shared" si="12"/>
        <v>OBSERVADOS</v>
      </c>
      <c r="BJ27" s="175" t="str">
        <f t="shared" si="13"/>
        <v>#N/A</v>
      </c>
      <c r="BK27" s="176" t="str">
        <f t="shared" si="14"/>
        <v>#N/A</v>
      </c>
      <c r="BL27" s="176" t="str">
        <f t="shared" si="15"/>
        <v>#N/A</v>
      </c>
      <c r="BM27" s="176" t="str">
        <f t="shared" si="16"/>
        <v>#N/A</v>
      </c>
      <c r="BN27" s="176" t="str">
        <f t="shared" si="17"/>
        <v>#N/A</v>
      </c>
      <c r="BO27" s="176" t="str">
        <f t="shared" si="18"/>
        <v>#N/A</v>
      </c>
      <c r="BP27" s="176" t="str">
        <f t="shared" si="19"/>
        <v>#N/A</v>
      </c>
      <c r="BQ27" s="176" t="str">
        <f t="shared" si="20"/>
        <v>#N/A</v>
      </c>
      <c r="BR27" s="176" t="str">
        <f t="shared" si="21"/>
        <v>#N/A</v>
      </c>
      <c r="BS27" s="207" t="str">
        <f>OFFSET(ASISTENCIA!$E$1,MATCH($G27,ASISTENCIA!$E:$E,0)-1,MATCH(BS$1,ASISTENCIA!$3:$3,0)-5,1,1)</f>
        <v>#N/A</v>
      </c>
      <c r="BT27" s="207" t="str">
        <f>OFFSET(ASISTENCIA!$E$1,MATCH($G27,ASISTENCIA!$E:$E,0)-1,MATCH(BT$1,ASISTENCIA!$3:$3,0)-5,1,1)</f>
        <v>#N/A</v>
      </c>
      <c r="BU27" s="215" t="str">
        <f>OFFSET(ASISTENCIA!$E$1,MATCH($G27,ASISTENCIA!$E:$E,0)-1,MATCH(BU$1,ASISTENCIA!$3:$3,0)-5,1,1)</f>
        <v>#N/A</v>
      </c>
      <c r="BV27" s="215" t="str">
        <f>OFFSET(ASISTENCIA!$E$1,MATCH($G27,ASISTENCIA!$E:$E,0)-1,MATCH(BV$1,ASISTENCIA!$3:$3,0)-5,1,1)</f>
        <v>#N/A</v>
      </c>
      <c r="BW27" s="55"/>
      <c r="BX27" s="55"/>
      <c r="BY27" s="55"/>
    </row>
    <row r="28">
      <c r="A28" s="123">
        <f t="shared" si="22"/>
        <v>25</v>
      </c>
      <c r="B28" s="127"/>
      <c r="C28" s="128"/>
      <c r="D28" s="128"/>
      <c r="E28" s="127"/>
      <c r="F28" s="127"/>
      <c r="G28" s="128"/>
      <c r="H28" s="128"/>
      <c r="I28" s="129"/>
      <c r="J28" s="129" t="str">
        <f>DEVO!F29</f>
        <v/>
      </c>
      <c r="K28" s="129" t="str">
        <f t="shared" si="1"/>
        <v/>
      </c>
      <c r="L28" s="131" t="str">
        <f>IF(TODAY()&gt;=$O$1-6,SUM(OFFSET(ASISTENCIA!$E$1,MATCH($G28,ASISTENCIA!$E:$E,0)-1,MATCH(L$1,ASISTENCIA!$3:$3,0)-5,1,1)),"")</f>
        <v>#N/A</v>
      </c>
      <c r="M28" s="131" t="str">
        <f>OFFSET(ASISTENCIA!$E$1,MATCH($G28,ASISTENCIA!$E:$E,0)-1,MATCH(M$1,ASISTENCIA!$3:$3,0)-5,1,1)</f>
        <v>#N/A</v>
      </c>
      <c r="N28" s="131" t="str">
        <f>OFFSET(ASISTENCIA!$E$1,MATCH($G28,ASISTENCIA!$E:$E,0)-1,MATCH(N$1,ASISTENCIA!$3:$3,0)-5,1,1)</f>
        <v>#N/A</v>
      </c>
      <c r="O28" s="136" t="str">
        <f>IF(TODAY()&gt;=$O$1-6,SUM(OFFSET(DEVO!$F$1,MATCH($G28,DEVO!$E:$E,0)-1,MATCH(L$1,DEVO!$1:$1,0)-6,1,7)),"")</f>
        <v>#N/A</v>
      </c>
      <c r="P28" s="131" t="str">
        <f>IF(TODAY()&gt;=$S$1-6,SUM(OFFSET(ASISTENCIA!$E$1,MATCH($G28,ASISTENCIA!$E:$E,0)-1,MATCH(P$1,ASISTENCIA!$3:$3,0)-5,1,1)),"")</f>
        <v>#N/A</v>
      </c>
      <c r="Q28" s="131" t="str">
        <f>OFFSET(ASISTENCIA!$E$1,MATCH($G28,ASISTENCIA!$E:$E,0)-1,MATCH(Q$1,ASISTENCIA!$3:$3,0)-5,1,1)</f>
        <v>#N/A</v>
      </c>
      <c r="R28" s="131" t="str">
        <f>OFFSET(ASISTENCIA!$E$1,MATCH($G28,ASISTENCIA!$E:$E,0)-1,MATCH(R$1,ASISTENCIA!$3:$3,0)-5,1,1)</f>
        <v>#N/A</v>
      </c>
      <c r="S28" s="136" t="str">
        <f>IF(TODAY()&gt;=$S$1-6,SUM(OFFSET(DEVO!$F$1,MATCH($G28,DEVO!$E:$E,0)-1,MATCH(P$1,DEVO!$1:$1,0)-6,1,7)),"")</f>
        <v>#N/A</v>
      </c>
      <c r="T28" s="131" t="str">
        <f>IF(TODAY()&gt;=$W$1-6,SUM(OFFSET(ASISTENCIA!$E$1,MATCH($G28,ASISTENCIA!$E:$E,0)-1,MATCH(T$1,ASISTENCIA!$3:$3,0)-5,1,1)),"")</f>
        <v>#N/A</v>
      </c>
      <c r="U28" s="131" t="str">
        <f>OFFSET(ASISTENCIA!$E$1,MATCH($G28,ASISTENCIA!$E:$E,0)-1,MATCH(U$1,ASISTENCIA!$3:$3,0)-5,1,1)</f>
        <v>#N/A</v>
      </c>
      <c r="V28" s="131" t="str">
        <f>OFFSET(ASISTENCIA!$E$1,MATCH($G28,ASISTENCIA!$E:$E,0)-1,MATCH(V$1,ASISTENCIA!$3:$3,0)-5,1,1)</f>
        <v>#N/A</v>
      </c>
      <c r="W28" s="136" t="str">
        <f>IF(TODAY()&gt;=$W$1-6,SUM(OFFSET(DEVO!$F$1,MATCH($G28,DEVO!$E:$E,0)-1,MATCH(T$1,DEVO!$1:$1,0)-6,1,7)),"")</f>
        <v>#N/A</v>
      </c>
      <c r="X28" s="131" t="str">
        <f>IF(TODAY()&gt;=$AA$1-6,SUM(OFFSET(ASISTENCIA!$E$1,MATCH($G28,ASISTENCIA!$E:$E,0)-1,MATCH(X$1,ASISTENCIA!$3:$3,0)-5,1,1)),"")</f>
        <v>#N/A</v>
      </c>
      <c r="Y28" s="131" t="str">
        <f>OFFSET(ASISTENCIA!$E$1,MATCH($G28,ASISTENCIA!$E:$E,0)-1,MATCH(Y$1,ASISTENCIA!$3:$3,0)-5,1,1)</f>
        <v>#N/A</v>
      </c>
      <c r="Z28" s="131" t="str">
        <f>OFFSET(ASISTENCIA!$E$1,MATCH($G28,ASISTENCIA!$E:$E,0)-1,MATCH(Z$1,ASISTENCIA!$3:$3,0)-5,1,1)</f>
        <v>#N/A</v>
      </c>
      <c r="AA28" s="136" t="str">
        <f>IF(TODAY()&gt;=$AA$1-6,SUM(OFFSET(DEVO!$F$1,MATCH($G28,DEVO!$E:$E,0)-1,MATCH(X$1,DEVO!$1:$1,0)-6,1,7)),"")</f>
        <v>#N/A</v>
      </c>
      <c r="AB28" s="131" t="str">
        <f>IF(TODAY()&gt;=$AE$1-6,SUM(OFFSET(ASISTENCIA!$E$1,MATCH($G28,ASISTENCIA!$E:$E,0)-1,MATCH(AB$1,ASISTENCIA!$3:$3,0)-5,1,1)),"")</f>
        <v>#N/A</v>
      </c>
      <c r="AC28" s="131" t="str">
        <f>OFFSET(ASISTENCIA!$E$1,MATCH($G28,ASISTENCIA!$E:$E,0)-1,MATCH(AC$1,ASISTENCIA!$3:$3,0)-5,1,1)</f>
        <v>#N/A</v>
      </c>
      <c r="AD28" s="131" t="str">
        <f>OFFSET(ASISTENCIA!$E$1,MATCH($G28,ASISTENCIA!$E:$E,0)-1,MATCH(AD$1,ASISTENCIA!$3:$3,0)-5,1,1)</f>
        <v>#N/A</v>
      </c>
      <c r="AE28" s="136" t="str">
        <f>IF(TODAY()&gt;=$AE$1-6,SUM(OFFSET(DEVO!$F$1,MATCH($G28,DEVO!$E:$E,0)-1,MATCH(AB$1,DEVO!$1:$1,0)-6,1,7)),"")</f>
        <v>#N/A</v>
      </c>
      <c r="AF28" s="131" t="str">
        <f>IF(TODAY()&gt;=$AI$1-6,SUM(OFFSET(ASISTENCIA!$E$1,MATCH($G28,ASISTENCIA!$E:$E,0)-1,MATCH(AF$1,ASISTENCIA!$3:$3,0)-5,1,1)),"")</f>
        <v>#N/A</v>
      </c>
      <c r="AG28" s="131" t="str">
        <f>OFFSET(ASISTENCIA!$E$1,MATCH($G28,ASISTENCIA!$E:$E,0)-1,MATCH(AG$1,ASISTENCIA!$3:$3,0)-5,1,1)</f>
        <v>#N/A</v>
      </c>
      <c r="AH28" s="131" t="str">
        <f>OFFSET(ASISTENCIA!$E$1,MATCH($G28,ASISTENCIA!$E:$E,0)-1,MATCH(AH$1,ASISTENCIA!$3:$3,0)-5,1,1)</f>
        <v>#N/A</v>
      </c>
      <c r="AI28" s="136" t="str">
        <f>IF(TODAY()&gt;=$AI$1-6,SUM(OFFSET(DEVO!$F$1,MATCH($G28,DEVO!$E:$E,0)-1,MATCH(AF$1,DEVO!$1:$1,0)-6,1,7)),"")</f>
        <v>#N/A</v>
      </c>
      <c r="AJ28" s="131" t="str">
        <f>IF(TODAY()&gt;=$AM$1-6,SUM(OFFSET(ASISTENCIA!$E$1,MATCH($G28,ASISTENCIA!$E:$E,0)-1,MATCH(AJ$1,ASISTENCIA!$3:$3,0)-5,1,1)),"")</f>
        <v>#N/A</v>
      </c>
      <c r="AK28" s="131" t="str">
        <f>OFFSET(ASISTENCIA!$E$1,MATCH($G28,ASISTENCIA!$E:$E,0)-1,MATCH(AK$1,ASISTENCIA!$3:$3,0)-5,1,1)</f>
        <v>#N/A</v>
      </c>
      <c r="AL28" s="131" t="str">
        <f>OFFSET(ASISTENCIA!$E$1,MATCH($G28,ASISTENCIA!$E:$E,0)-1,MATCH(AL$1,ASISTENCIA!$3:$3,0)-5,1,1)</f>
        <v>#N/A</v>
      </c>
      <c r="AM28" s="136" t="str">
        <f>IF(TODAY()&gt;=$AM$1-6,SUM(OFFSET(DEVO!$F$1,MATCH($G28,DEVO!$E:$E,0)-1,MATCH(AJ$1,DEVO!$1:$1,0)-6,1,7)),"")</f>
        <v>#N/A</v>
      </c>
      <c r="AN28" s="131" t="str">
        <f>IF(TODAY()&gt;=$AQ$1-6,SUM(OFFSET(ASISTENCIA!$E$1,MATCH($G28,ASISTENCIA!$E:$E,0)-1,MATCH(AN$1,ASISTENCIA!$3:$3,0)-5,1,1)),"")</f>
        <v>#N/A</v>
      </c>
      <c r="AO28" s="131" t="str">
        <f>OFFSET(ASISTENCIA!$E$1,MATCH($G28,ASISTENCIA!$E:$E,0)-1,MATCH(AO$1,ASISTENCIA!$3:$3,0)-5,1,1)</f>
        <v>#N/A</v>
      </c>
      <c r="AP28" s="131" t="str">
        <f>OFFSET(ASISTENCIA!$E$1,MATCH($G28,ASISTENCIA!$E:$E,0)-1,MATCH(AP$1,ASISTENCIA!$3:$3,0)-5,1,1)</f>
        <v>#N/A</v>
      </c>
      <c r="AQ28" s="136" t="str">
        <f>IF(TODAY()&gt;=$AQ$1-6,SUM(OFFSET(DEVO!$F$1,MATCH($G28,DEVO!$E:$E,0)-1,MATCH(AN$1,DEVO!$1:$1,0)-6,1,7)),"")</f>
        <v>#N/A</v>
      </c>
      <c r="AR28" s="131" t="str">
        <f>IF(TODAY()&gt;=$AU$1-6,SUM(OFFSET(ASISTENCIA!$E$1,MATCH($G28,ASISTENCIA!$E:$E,0)-1,MATCH(AR$1,ASISTENCIA!$3:$3,0)-5,1,1)),"")</f>
        <v>#N/A</v>
      </c>
      <c r="AS28" s="131" t="str">
        <f>OFFSET(ASISTENCIA!$E$1,MATCH($G28,ASISTENCIA!$E:$E,0)-1,MATCH(AS$1,ASISTENCIA!$3:$3,0)-5,1,1)</f>
        <v>#N/A</v>
      </c>
      <c r="AT28" s="131" t="str">
        <f>OFFSET(ASISTENCIA!$E$1,MATCH($G28,ASISTENCIA!$E:$E,0)-1,MATCH(AT$1,ASISTENCIA!$3:$3,0)-5,1,1)</f>
        <v>#N/A</v>
      </c>
      <c r="AU28" s="136" t="str">
        <f>IF(TODAY()&gt;=$AU$1-6,SUM(OFFSET(DEVO!$F$1,MATCH($G28,DEVO!$E:$E,0)-1,MATCH(AR$1,DEVO!$1:$1,0)-6,1,7)),"")</f>
        <v>#N/A</v>
      </c>
      <c r="AV28" s="131" t="str">
        <f>OFFSET(ASISTENCIA!$E$1,MATCH($G28,ASISTENCIA!$E:$E,0)-1,MATCH(AV$1,ASISTENCIA!$3:$3,0)-5,1,1)</f>
        <v>#N/A</v>
      </c>
      <c r="AW28" s="131" t="str">
        <f>OFFSET(ASISTENCIA!$E$1,MATCH($G28,ASISTENCIA!$E:$E,0)-1,MATCH(AW$1,ASISTENCIA!$3:$3,0)-5,1,1)</f>
        <v>#N/A</v>
      </c>
      <c r="AY28" s="173">
        <f t="shared" si="2"/>
        <v>0</v>
      </c>
      <c r="AZ28" s="174">
        <f t="shared" si="3"/>
        <v>0</v>
      </c>
      <c r="BA28" s="174">
        <f t="shared" si="4"/>
        <v>0</v>
      </c>
      <c r="BB28" s="174">
        <f t="shared" si="5"/>
        <v>0</v>
      </c>
      <c r="BC28" s="174">
        <f t="shared" si="6"/>
        <v>0</v>
      </c>
      <c r="BD28" s="174">
        <f t="shared" si="7"/>
        <v>0</v>
      </c>
      <c r="BE28" s="174">
        <f t="shared" si="8"/>
        <v>0</v>
      </c>
      <c r="BF28" s="174">
        <f t="shared" si="9"/>
        <v>0</v>
      </c>
      <c r="BG28" s="174">
        <f t="shared" si="10"/>
        <v>0</v>
      </c>
      <c r="BH28" s="152">
        <f t="shared" si="11"/>
        <v>0</v>
      </c>
      <c r="BI28" s="153" t="str">
        <f t="shared" si="12"/>
        <v>OBSERVADOS</v>
      </c>
      <c r="BJ28" s="175" t="str">
        <f t="shared" si="13"/>
        <v>#N/A</v>
      </c>
      <c r="BK28" s="176" t="str">
        <f t="shared" si="14"/>
        <v>#N/A</v>
      </c>
      <c r="BL28" s="176" t="str">
        <f t="shared" si="15"/>
        <v>#N/A</v>
      </c>
      <c r="BM28" s="176" t="str">
        <f t="shared" si="16"/>
        <v>#N/A</v>
      </c>
      <c r="BN28" s="176" t="str">
        <f t="shared" si="17"/>
        <v>#N/A</v>
      </c>
      <c r="BO28" s="176" t="str">
        <f t="shared" si="18"/>
        <v>#N/A</v>
      </c>
      <c r="BP28" s="176" t="str">
        <f t="shared" si="19"/>
        <v>#N/A</v>
      </c>
      <c r="BQ28" s="176" t="str">
        <f t="shared" si="20"/>
        <v>#N/A</v>
      </c>
      <c r="BR28" s="176" t="str">
        <f t="shared" si="21"/>
        <v>#N/A</v>
      </c>
      <c r="BS28" s="207" t="str">
        <f>OFFSET(ASISTENCIA!$E$1,MATCH($G28,ASISTENCIA!$E:$E,0)-1,MATCH(BS$1,ASISTENCIA!$3:$3,0)-5,1,1)</f>
        <v>#N/A</v>
      </c>
      <c r="BT28" s="207" t="str">
        <f>OFFSET(ASISTENCIA!$E$1,MATCH($G28,ASISTENCIA!$E:$E,0)-1,MATCH(BT$1,ASISTENCIA!$3:$3,0)-5,1,1)</f>
        <v>#N/A</v>
      </c>
      <c r="BU28" s="215" t="str">
        <f>OFFSET(ASISTENCIA!$E$1,MATCH($G28,ASISTENCIA!$E:$E,0)-1,MATCH(BU$1,ASISTENCIA!$3:$3,0)-5,1,1)</f>
        <v>#N/A</v>
      </c>
      <c r="BV28" s="215" t="str">
        <f>OFFSET(ASISTENCIA!$E$1,MATCH($G28,ASISTENCIA!$E:$E,0)-1,MATCH(BV$1,ASISTENCIA!$3:$3,0)-5,1,1)</f>
        <v>#N/A</v>
      </c>
      <c r="BW28" s="55"/>
      <c r="BX28" s="55"/>
      <c r="BY28" s="55"/>
    </row>
    <row r="29">
      <c r="A29" s="123">
        <f t="shared" si="22"/>
        <v>26</v>
      </c>
      <c r="B29" s="127"/>
      <c r="C29" s="128"/>
      <c r="D29" s="128"/>
      <c r="E29" s="127"/>
      <c r="F29" s="127"/>
      <c r="G29" s="128"/>
      <c r="H29" s="128"/>
      <c r="I29" s="129"/>
      <c r="J29" s="129" t="str">
        <f>DEVO!F30</f>
        <v/>
      </c>
      <c r="K29" s="129" t="str">
        <f t="shared" si="1"/>
        <v/>
      </c>
      <c r="L29" s="131" t="str">
        <f>IF(TODAY()&gt;=$O$1-6,SUM(OFFSET(ASISTENCIA!$E$1,MATCH($G29,ASISTENCIA!$E:$E,0)-1,MATCH(L$1,ASISTENCIA!$3:$3,0)-5,1,1)),"")</f>
        <v>#N/A</v>
      </c>
      <c r="M29" s="131" t="str">
        <f>OFFSET(ASISTENCIA!$E$1,MATCH($G29,ASISTENCIA!$E:$E,0)-1,MATCH(M$1,ASISTENCIA!$3:$3,0)-5,1,1)</f>
        <v>#N/A</v>
      </c>
      <c r="N29" s="131" t="str">
        <f>OFFSET(ASISTENCIA!$E$1,MATCH($G29,ASISTENCIA!$E:$E,0)-1,MATCH(N$1,ASISTENCIA!$3:$3,0)-5,1,1)</f>
        <v>#N/A</v>
      </c>
      <c r="O29" s="136" t="str">
        <f>IF(TODAY()&gt;=$O$1-6,SUM(OFFSET(DEVO!$F$1,MATCH($G29,DEVO!$E:$E,0)-1,MATCH(L$1,DEVO!$1:$1,0)-6,1,7)),"")</f>
        <v>#N/A</v>
      </c>
      <c r="P29" s="131" t="str">
        <f>IF(TODAY()&gt;=$S$1-6,SUM(OFFSET(ASISTENCIA!$E$1,MATCH($G29,ASISTENCIA!$E:$E,0)-1,MATCH(P$1,ASISTENCIA!$3:$3,0)-5,1,1)),"")</f>
        <v>#N/A</v>
      </c>
      <c r="Q29" s="131" t="str">
        <f>OFFSET(ASISTENCIA!$E$1,MATCH($G29,ASISTENCIA!$E:$E,0)-1,MATCH(Q$1,ASISTENCIA!$3:$3,0)-5,1,1)</f>
        <v>#N/A</v>
      </c>
      <c r="R29" s="131" t="str">
        <f>OFFSET(ASISTENCIA!$E$1,MATCH($G29,ASISTENCIA!$E:$E,0)-1,MATCH(R$1,ASISTENCIA!$3:$3,0)-5,1,1)</f>
        <v>#N/A</v>
      </c>
      <c r="S29" s="136" t="str">
        <f>IF(TODAY()&gt;=$S$1-6,SUM(OFFSET(DEVO!$F$1,MATCH($G29,DEVO!$E:$E,0)-1,MATCH(P$1,DEVO!$1:$1,0)-6,1,7)),"")</f>
        <v>#N/A</v>
      </c>
      <c r="T29" s="131" t="str">
        <f>IF(TODAY()&gt;=$W$1-6,SUM(OFFSET(ASISTENCIA!$E$1,MATCH($G29,ASISTENCIA!$E:$E,0)-1,MATCH(T$1,ASISTENCIA!$3:$3,0)-5,1,1)),"")</f>
        <v>#N/A</v>
      </c>
      <c r="U29" s="131" t="str">
        <f>OFFSET(ASISTENCIA!$E$1,MATCH($G29,ASISTENCIA!$E:$E,0)-1,MATCH(U$1,ASISTENCIA!$3:$3,0)-5,1,1)</f>
        <v>#N/A</v>
      </c>
      <c r="V29" s="131" t="str">
        <f>OFFSET(ASISTENCIA!$E$1,MATCH($G29,ASISTENCIA!$E:$E,0)-1,MATCH(V$1,ASISTENCIA!$3:$3,0)-5,1,1)</f>
        <v>#N/A</v>
      </c>
      <c r="W29" s="136" t="str">
        <f>IF(TODAY()&gt;=$W$1-6,SUM(OFFSET(DEVO!$F$1,MATCH($G29,DEVO!$E:$E,0)-1,MATCH(T$1,DEVO!$1:$1,0)-6,1,7)),"")</f>
        <v>#N/A</v>
      </c>
      <c r="X29" s="131" t="str">
        <f>IF(TODAY()&gt;=$AA$1-6,SUM(OFFSET(ASISTENCIA!$E$1,MATCH($G29,ASISTENCIA!$E:$E,0)-1,MATCH(X$1,ASISTENCIA!$3:$3,0)-5,1,1)),"")</f>
        <v>#N/A</v>
      </c>
      <c r="Y29" s="131" t="str">
        <f>OFFSET(ASISTENCIA!$E$1,MATCH($G29,ASISTENCIA!$E:$E,0)-1,MATCH(Y$1,ASISTENCIA!$3:$3,0)-5,1,1)</f>
        <v>#N/A</v>
      </c>
      <c r="Z29" s="131" t="str">
        <f>OFFSET(ASISTENCIA!$E$1,MATCH($G29,ASISTENCIA!$E:$E,0)-1,MATCH(Z$1,ASISTENCIA!$3:$3,0)-5,1,1)</f>
        <v>#N/A</v>
      </c>
      <c r="AA29" s="136" t="str">
        <f>IF(TODAY()&gt;=$AA$1-6,SUM(OFFSET(DEVO!$F$1,MATCH($G29,DEVO!$E:$E,0)-1,MATCH(X$1,DEVO!$1:$1,0)-6,1,7)),"")</f>
        <v>#N/A</v>
      </c>
      <c r="AB29" s="131" t="str">
        <f>IF(TODAY()&gt;=$AE$1-6,SUM(OFFSET(ASISTENCIA!$E$1,MATCH($G29,ASISTENCIA!$E:$E,0)-1,MATCH(AB$1,ASISTENCIA!$3:$3,0)-5,1,1)),"")</f>
        <v>#N/A</v>
      </c>
      <c r="AC29" s="131" t="str">
        <f>OFFSET(ASISTENCIA!$E$1,MATCH($G29,ASISTENCIA!$E:$E,0)-1,MATCH(AC$1,ASISTENCIA!$3:$3,0)-5,1,1)</f>
        <v>#N/A</v>
      </c>
      <c r="AD29" s="131" t="str">
        <f>OFFSET(ASISTENCIA!$E$1,MATCH($G29,ASISTENCIA!$E:$E,0)-1,MATCH(AD$1,ASISTENCIA!$3:$3,0)-5,1,1)</f>
        <v>#N/A</v>
      </c>
      <c r="AE29" s="136" t="str">
        <f>IF(TODAY()&gt;=$AE$1-6,SUM(OFFSET(DEVO!$F$1,MATCH($G29,DEVO!$E:$E,0)-1,MATCH(AB$1,DEVO!$1:$1,0)-6,1,7)),"")</f>
        <v>#N/A</v>
      </c>
      <c r="AF29" s="131" t="str">
        <f>IF(TODAY()&gt;=$AI$1-6,SUM(OFFSET(ASISTENCIA!$E$1,MATCH($G29,ASISTENCIA!$E:$E,0)-1,MATCH(AF$1,ASISTENCIA!$3:$3,0)-5,1,1)),"")</f>
        <v>#N/A</v>
      </c>
      <c r="AG29" s="131" t="str">
        <f>OFFSET(ASISTENCIA!$E$1,MATCH($G29,ASISTENCIA!$E:$E,0)-1,MATCH(AG$1,ASISTENCIA!$3:$3,0)-5,1,1)</f>
        <v>#N/A</v>
      </c>
      <c r="AH29" s="131" t="str">
        <f>OFFSET(ASISTENCIA!$E$1,MATCH($G29,ASISTENCIA!$E:$E,0)-1,MATCH(AH$1,ASISTENCIA!$3:$3,0)-5,1,1)</f>
        <v>#N/A</v>
      </c>
      <c r="AI29" s="136" t="str">
        <f>IF(TODAY()&gt;=$AI$1-6,SUM(OFFSET(DEVO!$F$1,MATCH($G29,DEVO!$E:$E,0)-1,MATCH(AF$1,DEVO!$1:$1,0)-6,1,7)),"")</f>
        <v>#N/A</v>
      </c>
      <c r="AJ29" s="131" t="str">
        <f>IF(TODAY()&gt;=$AM$1-6,SUM(OFFSET(ASISTENCIA!$E$1,MATCH($G29,ASISTENCIA!$E:$E,0)-1,MATCH(AJ$1,ASISTENCIA!$3:$3,0)-5,1,1)),"")</f>
        <v>#N/A</v>
      </c>
      <c r="AK29" s="131" t="str">
        <f>OFFSET(ASISTENCIA!$E$1,MATCH($G29,ASISTENCIA!$E:$E,0)-1,MATCH(AK$1,ASISTENCIA!$3:$3,0)-5,1,1)</f>
        <v>#N/A</v>
      </c>
      <c r="AL29" s="131" t="str">
        <f>OFFSET(ASISTENCIA!$E$1,MATCH($G29,ASISTENCIA!$E:$E,0)-1,MATCH(AL$1,ASISTENCIA!$3:$3,0)-5,1,1)</f>
        <v>#N/A</v>
      </c>
      <c r="AM29" s="136" t="str">
        <f>IF(TODAY()&gt;=$AM$1-6,SUM(OFFSET(DEVO!$F$1,MATCH($G29,DEVO!$E:$E,0)-1,MATCH(AJ$1,DEVO!$1:$1,0)-6,1,7)),"")</f>
        <v>#N/A</v>
      </c>
      <c r="AN29" s="131" t="str">
        <f>IF(TODAY()&gt;=$AQ$1-6,SUM(OFFSET(ASISTENCIA!$E$1,MATCH($G29,ASISTENCIA!$E:$E,0)-1,MATCH(AN$1,ASISTENCIA!$3:$3,0)-5,1,1)),"")</f>
        <v>#N/A</v>
      </c>
      <c r="AO29" s="131" t="str">
        <f>OFFSET(ASISTENCIA!$E$1,MATCH($G29,ASISTENCIA!$E:$E,0)-1,MATCH(AO$1,ASISTENCIA!$3:$3,0)-5,1,1)</f>
        <v>#N/A</v>
      </c>
      <c r="AP29" s="131" t="str">
        <f>OFFSET(ASISTENCIA!$E$1,MATCH($G29,ASISTENCIA!$E:$E,0)-1,MATCH(AP$1,ASISTENCIA!$3:$3,0)-5,1,1)</f>
        <v>#N/A</v>
      </c>
      <c r="AQ29" s="136" t="str">
        <f>IF(TODAY()&gt;=$AQ$1-6,SUM(OFFSET(DEVO!$F$1,MATCH($G29,DEVO!$E:$E,0)-1,MATCH(AN$1,DEVO!$1:$1,0)-6,1,7)),"")</f>
        <v>#N/A</v>
      </c>
      <c r="AR29" s="131" t="str">
        <f>IF(TODAY()&gt;=$AU$1-6,SUM(OFFSET(ASISTENCIA!$E$1,MATCH($G29,ASISTENCIA!$E:$E,0)-1,MATCH(AR$1,ASISTENCIA!$3:$3,0)-5,1,1)),"")</f>
        <v>#N/A</v>
      </c>
      <c r="AS29" s="131" t="str">
        <f>OFFSET(ASISTENCIA!$E$1,MATCH($G29,ASISTENCIA!$E:$E,0)-1,MATCH(AS$1,ASISTENCIA!$3:$3,0)-5,1,1)</f>
        <v>#N/A</v>
      </c>
      <c r="AT29" s="131" t="str">
        <f>OFFSET(ASISTENCIA!$E$1,MATCH($G29,ASISTENCIA!$E:$E,0)-1,MATCH(AT$1,ASISTENCIA!$3:$3,0)-5,1,1)</f>
        <v>#N/A</v>
      </c>
      <c r="AU29" s="136" t="str">
        <f>IF(TODAY()&gt;=$AU$1-6,SUM(OFFSET(DEVO!$F$1,MATCH($G29,DEVO!$E:$E,0)-1,MATCH(AR$1,DEVO!$1:$1,0)-6,1,7)),"")</f>
        <v>#N/A</v>
      </c>
      <c r="AV29" s="131" t="str">
        <f>OFFSET(ASISTENCIA!$E$1,MATCH($G29,ASISTENCIA!$E:$E,0)-1,MATCH(AV$1,ASISTENCIA!$3:$3,0)-5,1,1)</f>
        <v>#N/A</v>
      </c>
      <c r="AW29" s="131" t="str">
        <f>OFFSET(ASISTENCIA!$E$1,MATCH($G29,ASISTENCIA!$E:$E,0)-1,MATCH(AW$1,ASISTENCIA!$3:$3,0)-5,1,1)</f>
        <v>#N/A</v>
      </c>
      <c r="AY29" s="173">
        <f t="shared" si="2"/>
        <v>0</v>
      </c>
      <c r="AZ29" s="174">
        <f t="shared" si="3"/>
        <v>0</v>
      </c>
      <c r="BA29" s="174">
        <f t="shared" si="4"/>
        <v>0</v>
      </c>
      <c r="BB29" s="174">
        <f t="shared" si="5"/>
        <v>0</v>
      </c>
      <c r="BC29" s="174">
        <f t="shared" si="6"/>
        <v>0</v>
      </c>
      <c r="BD29" s="174">
        <f t="shared" si="7"/>
        <v>0</v>
      </c>
      <c r="BE29" s="174">
        <f t="shared" si="8"/>
        <v>0</v>
      </c>
      <c r="BF29" s="174">
        <f t="shared" si="9"/>
        <v>0</v>
      </c>
      <c r="BG29" s="174">
        <f t="shared" si="10"/>
        <v>0</v>
      </c>
      <c r="BH29" s="152">
        <f t="shared" si="11"/>
        <v>0</v>
      </c>
      <c r="BI29" s="153" t="str">
        <f t="shared" si="12"/>
        <v>OBSERVADOS</v>
      </c>
      <c r="BJ29" s="175" t="str">
        <f t="shared" si="13"/>
        <v>#N/A</v>
      </c>
      <c r="BK29" s="176" t="str">
        <f t="shared" si="14"/>
        <v>#N/A</v>
      </c>
      <c r="BL29" s="176" t="str">
        <f t="shared" si="15"/>
        <v>#N/A</v>
      </c>
      <c r="BM29" s="176" t="str">
        <f t="shared" si="16"/>
        <v>#N/A</v>
      </c>
      <c r="BN29" s="176" t="str">
        <f t="shared" si="17"/>
        <v>#N/A</v>
      </c>
      <c r="BO29" s="176" t="str">
        <f t="shared" si="18"/>
        <v>#N/A</v>
      </c>
      <c r="BP29" s="176" t="str">
        <f t="shared" si="19"/>
        <v>#N/A</v>
      </c>
      <c r="BQ29" s="176" t="str">
        <f t="shared" si="20"/>
        <v>#N/A</v>
      </c>
      <c r="BR29" s="176" t="str">
        <f t="shared" si="21"/>
        <v>#N/A</v>
      </c>
      <c r="BS29" s="207" t="str">
        <f>OFFSET(ASISTENCIA!$E$1,MATCH($G29,ASISTENCIA!$E:$E,0)-1,MATCH(BS$1,ASISTENCIA!$3:$3,0)-5,1,1)</f>
        <v>#N/A</v>
      </c>
      <c r="BT29" s="207" t="str">
        <f>OFFSET(ASISTENCIA!$E$1,MATCH($G29,ASISTENCIA!$E:$E,0)-1,MATCH(BT$1,ASISTENCIA!$3:$3,0)-5,1,1)</f>
        <v>#N/A</v>
      </c>
      <c r="BU29" s="215" t="str">
        <f>OFFSET(ASISTENCIA!$E$1,MATCH($G29,ASISTENCIA!$E:$E,0)-1,MATCH(BU$1,ASISTENCIA!$3:$3,0)-5,1,1)</f>
        <v>#N/A</v>
      </c>
      <c r="BV29" s="215" t="str">
        <f>OFFSET(ASISTENCIA!$E$1,MATCH($G29,ASISTENCIA!$E:$E,0)-1,MATCH(BV$1,ASISTENCIA!$3:$3,0)-5,1,1)</f>
        <v>#N/A</v>
      </c>
      <c r="BW29" s="55"/>
      <c r="BX29" s="55"/>
      <c r="BY29" s="55"/>
    </row>
    <row r="30">
      <c r="A30" s="123">
        <f t="shared" si="22"/>
        <v>27</v>
      </c>
      <c r="B30" s="127"/>
      <c r="C30" s="128"/>
      <c r="D30" s="128"/>
      <c r="E30" s="127"/>
      <c r="F30" s="127"/>
      <c r="G30" s="128"/>
      <c r="H30" s="128"/>
      <c r="I30" s="129"/>
      <c r="J30" s="129" t="str">
        <f>DEVO!F31</f>
        <v/>
      </c>
      <c r="K30" s="129" t="str">
        <f t="shared" si="1"/>
        <v/>
      </c>
      <c r="L30" s="131" t="str">
        <f>IF(TODAY()&gt;=$O$1-6,SUM(OFFSET(ASISTENCIA!$E$1,MATCH($G30,ASISTENCIA!$E:$E,0)-1,MATCH(L$1,ASISTENCIA!$3:$3,0)-5,1,1)),"")</f>
        <v>#N/A</v>
      </c>
      <c r="M30" s="131" t="str">
        <f>OFFSET(ASISTENCIA!$E$1,MATCH($G30,ASISTENCIA!$E:$E,0)-1,MATCH(M$1,ASISTENCIA!$3:$3,0)-5,1,1)</f>
        <v>#N/A</v>
      </c>
      <c r="N30" s="131" t="str">
        <f>OFFSET(ASISTENCIA!$E$1,MATCH($G30,ASISTENCIA!$E:$E,0)-1,MATCH(N$1,ASISTENCIA!$3:$3,0)-5,1,1)</f>
        <v>#N/A</v>
      </c>
      <c r="O30" s="136" t="str">
        <f>IF(TODAY()&gt;=$O$1-6,SUM(OFFSET(DEVO!$F$1,MATCH($G30,DEVO!$E:$E,0)-1,MATCH(L$1,DEVO!$1:$1,0)-6,1,7)),"")</f>
        <v>#N/A</v>
      </c>
      <c r="P30" s="131" t="str">
        <f>IF(TODAY()&gt;=$S$1-6,SUM(OFFSET(ASISTENCIA!$E$1,MATCH($G30,ASISTENCIA!$E:$E,0)-1,MATCH(P$1,ASISTENCIA!$3:$3,0)-5,1,1)),"")</f>
        <v>#N/A</v>
      </c>
      <c r="Q30" s="131" t="str">
        <f>OFFSET(ASISTENCIA!$E$1,MATCH($G30,ASISTENCIA!$E:$E,0)-1,MATCH(Q$1,ASISTENCIA!$3:$3,0)-5,1,1)</f>
        <v>#N/A</v>
      </c>
      <c r="R30" s="131" t="str">
        <f>OFFSET(ASISTENCIA!$E$1,MATCH($G30,ASISTENCIA!$E:$E,0)-1,MATCH(R$1,ASISTENCIA!$3:$3,0)-5,1,1)</f>
        <v>#N/A</v>
      </c>
      <c r="S30" s="136" t="str">
        <f>IF(TODAY()&gt;=$S$1-6,SUM(OFFSET(DEVO!$F$1,MATCH($G30,DEVO!$E:$E,0)-1,MATCH(P$1,DEVO!$1:$1,0)-6,1,7)),"")</f>
        <v>#N/A</v>
      </c>
      <c r="T30" s="131" t="str">
        <f>IF(TODAY()&gt;=$W$1-6,SUM(OFFSET(ASISTENCIA!$E$1,MATCH($G30,ASISTENCIA!$E:$E,0)-1,MATCH(T$1,ASISTENCIA!$3:$3,0)-5,1,1)),"")</f>
        <v>#N/A</v>
      </c>
      <c r="U30" s="131" t="str">
        <f>OFFSET(ASISTENCIA!$E$1,MATCH($G30,ASISTENCIA!$E:$E,0)-1,MATCH(U$1,ASISTENCIA!$3:$3,0)-5,1,1)</f>
        <v>#N/A</v>
      </c>
      <c r="V30" s="131" t="str">
        <f>OFFSET(ASISTENCIA!$E$1,MATCH($G30,ASISTENCIA!$E:$E,0)-1,MATCH(V$1,ASISTENCIA!$3:$3,0)-5,1,1)</f>
        <v>#N/A</v>
      </c>
      <c r="W30" s="136" t="str">
        <f>IF(TODAY()&gt;=$W$1-6,SUM(OFFSET(DEVO!$F$1,MATCH($G30,DEVO!$E:$E,0)-1,MATCH(T$1,DEVO!$1:$1,0)-6,1,7)),"")</f>
        <v>#N/A</v>
      </c>
      <c r="X30" s="131" t="str">
        <f>IF(TODAY()&gt;=$AA$1-6,SUM(OFFSET(ASISTENCIA!$E$1,MATCH($G30,ASISTENCIA!$E:$E,0)-1,MATCH(X$1,ASISTENCIA!$3:$3,0)-5,1,1)),"")</f>
        <v>#N/A</v>
      </c>
      <c r="Y30" s="131" t="str">
        <f>OFFSET(ASISTENCIA!$E$1,MATCH($G30,ASISTENCIA!$E:$E,0)-1,MATCH(Y$1,ASISTENCIA!$3:$3,0)-5,1,1)</f>
        <v>#N/A</v>
      </c>
      <c r="Z30" s="131" t="str">
        <f>OFFSET(ASISTENCIA!$E$1,MATCH($G30,ASISTENCIA!$E:$E,0)-1,MATCH(Z$1,ASISTENCIA!$3:$3,0)-5,1,1)</f>
        <v>#N/A</v>
      </c>
      <c r="AA30" s="136" t="str">
        <f>IF(TODAY()&gt;=$AA$1-6,SUM(OFFSET(DEVO!$F$1,MATCH($G30,DEVO!$E:$E,0)-1,MATCH(X$1,DEVO!$1:$1,0)-6,1,7)),"")</f>
        <v>#N/A</v>
      </c>
      <c r="AB30" s="131" t="str">
        <f>IF(TODAY()&gt;=$AE$1-6,SUM(OFFSET(ASISTENCIA!$E$1,MATCH($G30,ASISTENCIA!$E:$E,0)-1,MATCH(AB$1,ASISTENCIA!$3:$3,0)-5,1,1)),"")</f>
        <v>#N/A</v>
      </c>
      <c r="AC30" s="131" t="str">
        <f>OFFSET(ASISTENCIA!$E$1,MATCH($G30,ASISTENCIA!$E:$E,0)-1,MATCH(AC$1,ASISTENCIA!$3:$3,0)-5,1,1)</f>
        <v>#N/A</v>
      </c>
      <c r="AD30" s="131" t="str">
        <f>OFFSET(ASISTENCIA!$E$1,MATCH($G30,ASISTENCIA!$E:$E,0)-1,MATCH(AD$1,ASISTENCIA!$3:$3,0)-5,1,1)</f>
        <v>#N/A</v>
      </c>
      <c r="AE30" s="136" t="str">
        <f>IF(TODAY()&gt;=$AE$1-6,SUM(OFFSET(DEVO!$F$1,MATCH($G30,DEVO!$E:$E,0)-1,MATCH(AB$1,DEVO!$1:$1,0)-6,1,7)),"")</f>
        <v>#N/A</v>
      </c>
      <c r="AF30" s="131" t="str">
        <f>IF(TODAY()&gt;=$AI$1-6,SUM(OFFSET(ASISTENCIA!$E$1,MATCH($G30,ASISTENCIA!$E:$E,0)-1,MATCH(AF$1,ASISTENCIA!$3:$3,0)-5,1,1)),"")</f>
        <v>#N/A</v>
      </c>
      <c r="AG30" s="131" t="str">
        <f>OFFSET(ASISTENCIA!$E$1,MATCH($G30,ASISTENCIA!$E:$E,0)-1,MATCH(AG$1,ASISTENCIA!$3:$3,0)-5,1,1)</f>
        <v>#N/A</v>
      </c>
      <c r="AH30" s="131" t="str">
        <f>OFFSET(ASISTENCIA!$E$1,MATCH($G30,ASISTENCIA!$E:$E,0)-1,MATCH(AH$1,ASISTENCIA!$3:$3,0)-5,1,1)</f>
        <v>#N/A</v>
      </c>
      <c r="AI30" s="136" t="str">
        <f>IF(TODAY()&gt;=$AI$1-6,SUM(OFFSET(DEVO!$F$1,MATCH($G30,DEVO!$E:$E,0)-1,MATCH(AF$1,DEVO!$1:$1,0)-6,1,7)),"")</f>
        <v>#N/A</v>
      </c>
      <c r="AJ30" s="131" t="str">
        <f>IF(TODAY()&gt;=$AM$1-6,SUM(OFFSET(ASISTENCIA!$E$1,MATCH($G30,ASISTENCIA!$E:$E,0)-1,MATCH(AJ$1,ASISTENCIA!$3:$3,0)-5,1,1)),"")</f>
        <v>#N/A</v>
      </c>
      <c r="AK30" s="131" t="str">
        <f>OFFSET(ASISTENCIA!$E$1,MATCH($G30,ASISTENCIA!$E:$E,0)-1,MATCH(AK$1,ASISTENCIA!$3:$3,0)-5,1,1)</f>
        <v>#N/A</v>
      </c>
      <c r="AL30" s="131" t="str">
        <f>OFFSET(ASISTENCIA!$E$1,MATCH($G30,ASISTENCIA!$E:$E,0)-1,MATCH(AL$1,ASISTENCIA!$3:$3,0)-5,1,1)</f>
        <v>#N/A</v>
      </c>
      <c r="AM30" s="136" t="str">
        <f>IF(TODAY()&gt;=$AM$1-6,SUM(OFFSET(DEVO!$F$1,MATCH($G30,DEVO!$E:$E,0)-1,MATCH(AJ$1,DEVO!$1:$1,0)-6,1,7)),"")</f>
        <v>#N/A</v>
      </c>
      <c r="AN30" s="131" t="str">
        <f>IF(TODAY()&gt;=$AQ$1-6,SUM(OFFSET(ASISTENCIA!$E$1,MATCH($G30,ASISTENCIA!$E:$E,0)-1,MATCH(AN$1,ASISTENCIA!$3:$3,0)-5,1,1)),"")</f>
        <v>#N/A</v>
      </c>
      <c r="AO30" s="131" t="str">
        <f>OFFSET(ASISTENCIA!$E$1,MATCH($G30,ASISTENCIA!$E:$E,0)-1,MATCH(AO$1,ASISTENCIA!$3:$3,0)-5,1,1)</f>
        <v>#N/A</v>
      </c>
      <c r="AP30" s="131" t="str">
        <f>OFFSET(ASISTENCIA!$E$1,MATCH($G30,ASISTENCIA!$E:$E,0)-1,MATCH(AP$1,ASISTENCIA!$3:$3,0)-5,1,1)</f>
        <v>#N/A</v>
      </c>
      <c r="AQ30" s="136" t="str">
        <f>IF(TODAY()&gt;=$AQ$1-6,SUM(OFFSET(DEVO!$F$1,MATCH($G30,DEVO!$E:$E,0)-1,MATCH(AN$1,DEVO!$1:$1,0)-6,1,7)),"")</f>
        <v>#N/A</v>
      </c>
      <c r="AR30" s="131" t="str">
        <f>IF(TODAY()&gt;=$AU$1-6,SUM(OFFSET(ASISTENCIA!$E$1,MATCH($G30,ASISTENCIA!$E:$E,0)-1,MATCH(AR$1,ASISTENCIA!$3:$3,0)-5,1,1)),"")</f>
        <v>#N/A</v>
      </c>
      <c r="AS30" s="131" t="str">
        <f>OFFSET(ASISTENCIA!$E$1,MATCH($G30,ASISTENCIA!$E:$E,0)-1,MATCH(AS$1,ASISTENCIA!$3:$3,0)-5,1,1)</f>
        <v>#N/A</v>
      </c>
      <c r="AT30" s="131" t="str">
        <f>OFFSET(ASISTENCIA!$E$1,MATCH($G30,ASISTENCIA!$E:$E,0)-1,MATCH(AT$1,ASISTENCIA!$3:$3,0)-5,1,1)</f>
        <v>#N/A</v>
      </c>
      <c r="AU30" s="136" t="str">
        <f>IF(TODAY()&gt;=$AU$1-6,SUM(OFFSET(DEVO!$F$1,MATCH($G30,DEVO!$E:$E,0)-1,MATCH(AR$1,DEVO!$1:$1,0)-6,1,7)),"")</f>
        <v>#N/A</v>
      </c>
      <c r="AV30" s="131" t="str">
        <f>OFFSET(ASISTENCIA!$E$1,MATCH($G30,ASISTENCIA!$E:$E,0)-1,MATCH(AV$1,ASISTENCIA!$3:$3,0)-5,1,1)</f>
        <v>#N/A</v>
      </c>
      <c r="AW30" s="131" t="str">
        <f>OFFSET(ASISTENCIA!$E$1,MATCH($G30,ASISTENCIA!$E:$E,0)-1,MATCH(AW$1,ASISTENCIA!$3:$3,0)-5,1,1)</f>
        <v>#N/A</v>
      </c>
      <c r="AY30" s="173">
        <f t="shared" si="2"/>
        <v>0</v>
      </c>
      <c r="AZ30" s="174">
        <f t="shared" si="3"/>
        <v>0</v>
      </c>
      <c r="BA30" s="174">
        <f t="shared" si="4"/>
        <v>0</v>
      </c>
      <c r="BB30" s="174">
        <f t="shared" si="5"/>
        <v>0</v>
      </c>
      <c r="BC30" s="174">
        <f t="shared" si="6"/>
        <v>0</v>
      </c>
      <c r="BD30" s="174">
        <f t="shared" si="7"/>
        <v>0</v>
      </c>
      <c r="BE30" s="174">
        <f t="shared" si="8"/>
        <v>0</v>
      </c>
      <c r="BF30" s="174">
        <f t="shared" si="9"/>
        <v>0</v>
      </c>
      <c r="BG30" s="174">
        <f t="shared" si="10"/>
        <v>0</v>
      </c>
      <c r="BH30" s="152">
        <f t="shared" si="11"/>
        <v>0</v>
      </c>
      <c r="BI30" s="153" t="str">
        <f t="shared" si="12"/>
        <v>OBSERVADOS</v>
      </c>
      <c r="BJ30" s="175" t="str">
        <f t="shared" si="13"/>
        <v>#N/A</v>
      </c>
      <c r="BK30" s="176" t="str">
        <f t="shared" si="14"/>
        <v>#N/A</v>
      </c>
      <c r="BL30" s="176" t="str">
        <f t="shared" si="15"/>
        <v>#N/A</v>
      </c>
      <c r="BM30" s="176" t="str">
        <f t="shared" si="16"/>
        <v>#N/A</v>
      </c>
      <c r="BN30" s="176" t="str">
        <f t="shared" si="17"/>
        <v>#N/A</v>
      </c>
      <c r="BO30" s="176" t="str">
        <f t="shared" si="18"/>
        <v>#N/A</v>
      </c>
      <c r="BP30" s="176" t="str">
        <f t="shared" si="19"/>
        <v>#N/A</v>
      </c>
      <c r="BQ30" s="176" t="str">
        <f t="shared" si="20"/>
        <v>#N/A</v>
      </c>
      <c r="BR30" s="176" t="str">
        <f t="shared" si="21"/>
        <v>#N/A</v>
      </c>
      <c r="BS30" s="207" t="str">
        <f>OFFSET(ASISTENCIA!$E$1,MATCH($G30,ASISTENCIA!$E:$E,0)-1,MATCH(BS$1,ASISTENCIA!$3:$3,0)-5,1,1)</f>
        <v>#N/A</v>
      </c>
      <c r="BT30" s="207" t="str">
        <f>OFFSET(ASISTENCIA!$E$1,MATCH($G30,ASISTENCIA!$E:$E,0)-1,MATCH(BT$1,ASISTENCIA!$3:$3,0)-5,1,1)</f>
        <v>#N/A</v>
      </c>
      <c r="BU30" s="215" t="str">
        <f>OFFSET(ASISTENCIA!$E$1,MATCH($G30,ASISTENCIA!$E:$E,0)-1,MATCH(BU$1,ASISTENCIA!$3:$3,0)-5,1,1)</f>
        <v>#N/A</v>
      </c>
      <c r="BV30" s="215" t="str">
        <f>OFFSET(ASISTENCIA!$E$1,MATCH($G30,ASISTENCIA!$E:$E,0)-1,MATCH(BV$1,ASISTENCIA!$3:$3,0)-5,1,1)</f>
        <v>#N/A</v>
      </c>
      <c r="BW30" s="55"/>
      <c r="BX30" s="55"/>
      <c r="BY30" s="55"/>
    </row>
    <row r="31">
      <c r="A31" s="123">
        <f t="shared" si="22"/>
        <v>28</v>
      </c>
      <c r="B31" s="127"/>
      <c r="C31" s="128"/>
      <c r="D31" s="128"/>
      <c r="E31" s="127"/>
      <c r="F31" s="127"/>
      <c r="G31" s="128"/>
      <c r="H31" s="128"/>
      <c r="I31" s="129"/>
      <c r="J31" s="129" t="str">
        <f>DEVO!F32</f>
        <v/>
      </c>
      <c r="K31" s="129" t="str">
        <f t="shared" si="1"/>
        <v/>
      </c>
      <c r="L31" s="131" t="str">
        <f>IF(TODAY()&gt;=$O$1-6,SUM(OFFSET(ASISTENCIA!$E$1,MATCH($G31,ASISTENCIA!$E:$E,0)-1,MATCH(L$1,ASISTENCIA!$3:$3,0)-5,1,1)),"")</f>
        <v>#N/A</v>
      </c>
      <c r="M31" s="131" t="str">
        <f>OFFSET(ASISTENCIA!$E$1,MATCH($G31,ASISTENCIA!$E:$E,0)-1,MATCH(M$1,ASISTENCIA!$3:$3,0)-5,1,1)</f>
        <v>#N/A</v>
      </c>
      <c r="N31" s="131" t="str">
        <f>OFFSET(ASISTENCIA!$E$1,MATCH($G31,ASISTENCIA!$E:$E,0)-1,MATCH(N$1,ASISTENCIA!$3:$3,0)-5,1,1)</f>
        <v>#N/A</v>
      </c>
      <c r="O31" s="136" t="str">
        <f>IF(TODAY()&gt;=$O$1-6,SUM(OFFSET(DEVO!$F$1,MATCH($G31,DEVO!$E:$E,0)-1,MATCH(L$1,DEVO!$1:$1,0)-6,1,7)),"")</f>
        <v>#N/A</v>
      </c>
      <c r="P31" s="131" t="str">
        <f>IF(TODAY()&gt;=$S$1-6,SUM(OFFSET(ASISTENCIA!$E$1,MATCH($G31,ASISTENCIA!$E:$E,0)-1,MATCH(P$1,ASISTENCIA!$3:$3,0)-5,1,1)),"")</f>
        <v>#N/A</v>
      </c>
      <c r="Q31" s="131" t="str">
        <f>OFFSET(ASISTENCIA!$E$1,MATCH($G31,ASISTENCIA!$E:$E,0)-1,MATCH(Q$1,ASISTENCIA!$3:$3,0)-5,1,1)</f>
        <v>#N/A</v>
      </c>
      <c r="R31" s="131" t="str">
        <f>OFFSET(ASISTENCIA!$E$1,MATCH($G31,ASISTENCIA!$E:$E,0)-1,MATCH(R$1,ASISTENCIA!$3:$3,0)-5,1,1)</f>
        <v>#N/A</v>
      </c>
      <c r="S31" s="136" t="str">
        <f>IF(TODAY()&gt;=$S$1-6,SUM(OFFSET(DEVO!$F$1,MATCH($G31,DEVO!$E:$E,0)-1,MATCH(P$1,DEVO!$1:$1,0)-6,1,7)),"")</f>
        <v>#N/A</v>
      </c>
      <c r="T31" s="131" t="str">
        <f>IF(TODAY()&gt;=$W$1-6,SUM(OFFSET(ASISTENCIA!$E$1,MATCH($G31,ASISTENCIA!$E:$E,0)-1,MATCH(T$1,ASISTENCIA!$3:$3,0)-5,1,1)),"")</f>
        <v>#N/A</v>
      </c>
      <c r="U31" s="131" t="str">
        <f>OFFSET(ASISTENCIA!$E$1,MATCH($G31,ASISTENCIA!$E:$E,0)-1,MATCH(U$1,ASISTENCIA!$3:$3,0)-5,1,1)</f>
        <v>#N/A</v>
      </c>
      <c r="V31" s="131" t="str">
        <f>OFFSET(ASISTENCIA!$E$1,MATCH($G31,ASISTENCIA!$E:$E,0)-1,MATCH(V$1,ASISTENCIA!$3:$3,0)-5,1,1)</f>
        <v>#N/A</v>
      </c>
      <c r="W31" s="136" t="str">
        <f>IF(TODAY()&gt;=$W$1-6,SUM(OFFSET(DEVO!$F$1,MATCH($G31,DEVO!$E:$E,0)-1,MATCH(T$1,DEVO!$1:$1,0)-6,1,7)),"")</f>
        <v>#N/A</v>
      </c>
      <c r="X31" s="131" t="str">
        <f>IF(TODAY()&gt;=$AA$1-6,SUM(OFFSET(ASISTENCIA!$E$1,MATCH($G31,ASISTENCIA!$E:$E,0)-1,MATCH(X$1,ASISTENCIA!$3:$3,0)-5,1,1)),"")</f>
        <v>#N/A</v>
      </c>
      <c r="Y31" s="131" t="str">
        <f>OFFSET(ASISTENCIA!$E$1,MATCH($G31,ASISTENCIA!$E:$E,0)-1,MATCH(Y$1,ASISTENCIA!$3:$3,0)-5,1,1)</f>
        <v>#N/A</v>
      </c>
      <c r="Z31" s="131" t="str">
        <f>OFFSET(ASISTENCIA!$E$1,MATCH($G31,ASISTENCIA!$E:$E,0)-1,MATCH(Z$1,ASISTENCIA!$3:$3,0)-5,1,1)</f>
        <v>#N/A</v>
      </c>
      <c r="AA31" s="136" t="str">
        <f>IF(TODAY()&gt;=$AA$1-6,SUM(OFFSET(DEVO!$F$1,MATCH($G31,DEVO!$E:$E,0)-1,MATCH(X$1,DEVO!$1:$1,0)-6,1,7)),"")</f>
        <v>#N/A</v>
      </c>
      <c r="AB31" s="131" t="str">
        <f>IF(TODAY()&gt;=$AE$1-6,SUM(OFFSET(ASISTENCIA!$E$1,MATCH($G31,ASISTENCIA!$E:$E,0)-1,MATCH(AB$1,ASISTENCIA!$3:$3,0)-5,1,1)),"")</f>
        <v>#N/A</v>
      </c>
      <c r="AC31" s="131" t="str">
        <f>OFFSET(ASISTENCIA!$E$1,MATCH($G31,ASISTENCIA!$E:$E,0)-1,MATCH(AC$1,ASISTENCIA!$3:$3,0)-5,1,1)</f>
        <v>#N/A</v>
      </c>
      <c r="AD31" s="131" t="str">
        <f>OFFSET(ASISTENCIA!$E$1,MATCH($G31,ASISTENCIA!$E:$E,0)-1,MATCH(AD$1,ASISTENCIA!$3:$3,0)-5,1,1)</f>
        <v>#N/A</v>
      </c>
      <c r="AE31" s="136" t="str">
        <f>IF(TODAY()&gt;=$AE$1-6,SUM(OFFSET(DEVO!$F$1,MATCH($G31,DEVO!$E:$E,0)-1,MATCH(AB$1,DEVO!$1:$1,0)-6,1,7)),"")</f>
        <v>#N/A</v>
      </c>
      <c r="AF31" s="131" t="str">
        <f>IF(TODAY()&gt;=$AI$1-6,SUM(OFFSET(ASISTENCIA!$E$1,MATCH($G31,ASISTENCIA!$E:$E,0)-1,MATCH(AF$1,ASISTENCIA!$3:$3,0)-5,1,1)),"")</f>
        <v>#N/A</v>
      </c>
      <c r="AG31" s="131" t="str">
        <f>OFFSET(ASISTENCIA!$E$1,MATCH($G31,ASISTENCIA!$E:$E,0)-1,MATCH(AG$1,ASISTENCIA!$3:$3,0)-5,1,1)</f>
        <v>#N/A</v>
      </c>
      <c r="AH31" s="131" t="str">
        <f>OFFSET(ASISTENCIA!$E$1,MATCH($G31,ASISTENCIA!$E:$E,0)-1,MATCH(AH$1,ASISTENCIA!$3:$3,0)-5,1,1)</f>
        <v>#N/A</v>
      </c>
      <c r="AI31" s="136" t="str">
        <f>IF(TODAY()&gt;=$AI$1-6,SUM(OFFSET(DEVO!$F$1,MATCH($G31,DEVO!$E:$E,0)-1,MATCH(AF$1,DEVO!$1:$1,0)-6,1,7)),"")</f>
        <v>#N/A</v>
      </c>
      <c r="AJ31" s="131" t="str">
        <f>IF(TODAY()&gt;=$AM$1-6,SUM(OFFSET(ASISTENCIA!$E$1,MATCH($G31,ASISTENCIA!$E:$E,0)-1,MATCH(AJ$1,ASISTENCIA!$3:$3,0)-5,1,1)),"")</f>
        <v>#N/A</v>
      </c>
      <c r="AK31" s="131" t="str">
        <f>OFFSET(ASISTENCIA!$E$1,MATCH($G31,ASISTENCIA!$E:$E,0)-1,MATCH(AK$1,ASISTENCIA!$3:$3,0)-5,1,1)</f>
        <v>#N/A</v>
      </c>
      <c r="AL31" s="131" t="str">
        <f>OFFSET(ASISTENCIA!$E$1,MATCH($G31,ASISTENCIA!$E:$E,0)-1,MATCH(AL$1,ASISTENCIA!$3:$3,0)-5,1,1)</f>
        <v>#N/A</v>
      </c>
      <c r="AM31" s="136" t="str">
        <f>IF(TODAY()&gt;=$AM$1-6,SUM(OFFSET(DEVO!$F$1,MATCH($G31,DEVO!$E:$E,0)-1,MATCH(AJ$1,DEVO!$1:$1,0)-6,1,7)),"")</f>
        <v>#N/A</v>
      </c>
      <c r="AN31" s="131" t="str">
        <f>IF(TODAY()&gt;=$AQ$1-6,SUM(OFFSET(ASISTENCIA!$E$1,MATCH($G31,ASISTENCIA!$E:$E,0)-1,MATCH(AN$1,ASISTENCIA!$3:$3,0)-5,1,1)),"")</f>
        <v>#N/A</v>
      </c>
      <c r="AO31" s="131" t="str">
        <f>OFFSET(ASISTENCIA!$E$1,MATCH($G31,ASISTENCIA!$E:$E,0)-1,MATCH(AO$1,ASISTENCIA!$3:$3,0)-5,1,1)</f>
        <v>#N/A</v>
      </c>
      <c r="AP31" s="131" t="str">
        <f>OFFSET(ASISTENCIA!$E$1,MATCH($G31,ASISTENCIA!$E:$E,0)-1,MATCH(AP$1,ASISTENCIA!$3:$3,0)-5,1,1)</f>
        <v>#N/A</v>
      </c>
      <c r="AQ31" s="136" t="str">
        <f>IF(TODAY()&gt;=$AQ$1-6,SUM(OFFSET(DEVO!$F$1,MATCH($G31,DEVO!$E:$E,0)-1,MATCH(AN$1,DEVO!$1:$1,0)-6,1,7)),"")</f>
        <v>#N/A</v>
      </c>
      <c r="AR31" s="131" t="str">
        <f>IF(TODAY()&gt;=$AU$1-6,SUM(OFFSET(ASISTENCIA!$E$1,MATCH($G31,ASISTENCIA!$E:$E,0)-1,MATCH(AR$1,ASISTENCIA!$3:$3,0)-5,1,1)),"")</f>
        <v>#N/A</v>
      </c>
      <c r="AS31" s="131" t="str">
        <f>OFFSET(ASISTENCIA!$E$1,MATCH($G31,ASISTENCIA!$E:$E,0)-1,MATCH(AS$1,ASISTENCIA!$3:$3,0)-5,1,1)</f>
        <v>#N/A</v>
      </c>
      <c r="AT31" s="131" t="str">
        <f>OFFSET(ASISTENCIA!$E$1,MATCH($G31,ASISTENCIA!$E:$E,0)-1,MATCH(AT$1,ASISTENCIA!$3:$3,0)-5,1,1)</f>
        <v>#N/A</v>
      </c>
      <c r="AU31" s="136" t="str">
        <f>IF(TODAY()&gt;=$AU$1-6,SUM(OFFSET(DEVO!$F$1,MATCH($G31,DEVO!$E:$E,0)-1,MATCH(AR$1,DEVO!$1:$1,0)-6,1,7)),"")</f>
        <v>#N/A</v>
      </c>
      <c r="AV31" s="131" t="str">
        <f>OFFSET(ASISTENCIA!$E$1,MATCH($G31,ASISTENCIA!$E:$E,0)-1,MATCH(AV$1,ASISTENCIA!$3:$3,0)-5,1,1)</f>
        <v>#N/A</v>
      </c>
      <c r="AW31" s="131" t="str">
        <f>OFFSET(ASISTENCIA!$E$1,MATCH($G31,ASISTENCIA!$E:$E,0)-1,MATCH(AW$1,ASISTENCIA!$3:$3,0)-5,1,1)</f>
        <v>#N/A</v>
      </c>
      <c r="AY31" s="173">
        <f t="shared" si="2"/>
        <v>0</v>
      </c>
      <c r="AZ31" s="174">
        <f t="shared" si="3"/>
        <v>0</v>
      </c>
      <c r="BA31" s="174">
        <f t="shared" si="4"/>
        <v>0</v>
      </c>
      <c r="BB31" s="174">
        <f t="shared" si="5"/>
        <v>0</v>
      </c>
      <c r="BC31" s="174">
        <f t="shared" si="6"/>
        <v>0</v>
      </c>
      <c r="BD31" s="174">
        <f t="shared" si="7"/>
        <v>0</v>
      </c>
      <c r="BE31" s="174">
        <f t="shared" si="8"/>
        <v>0</v>
      </c>
      <c r="BF31" s="174">
        <f t="shared" si="9"/>
        <v>0</v>
      </c>
      <c r="BG31" s="174">
        <f t="shared" si="10"/>
        <v>0</v>
      </c>
      <c r="BH31" s="152">
        <f t="shared" si="11"/>
        <v>0</v>
      </c>
      <c r="BI31" s="153" t="str">
        <f t="shared" si="12"/>
        <v>OBSERVADOS</v>
      </c>
      <c r="BJ31" s="175" t="str">
        <f t="shared" si="13"/>
        <v>#N/A</v>
      </c>
      <c r="BK31" s="176" t="str">
        <f t="shared" si="14"/>
        <v>#N/A</v>
      </c>
      <c r="BL31" s="176" t="str">
        <f t="shared" si="15"/>
        <v>#N/A</v>
      </c>
      <c r="BM31" s="176" t="str">
        <f t="shared" si="16"/>
        <v>#N/A</v>
      </c>
      <c r="BN31" s="176" t="str">
        <f t="shared" si="17"/>
        <v>#N/A</v>
      </c>
      <c r="BO31" s="176" t="str">
        <f t="shared" si="18"/>
        <v>#N/A</v>
      </c>
      <c r="BP31" s="176" t="str">
        <f t="shared" si="19"/>
        <v>#N/A</v>
      </c>
      <c r="BQ31" s="176" t="str">
        <f t="shared" si="20"/>
        <v>#N/A</v>
      </c>
      <c r="BR31" s="176" t="str">
        <f t="shared" si="21"/>
        <v>#N/A</v>
      </c>
      <c r="BS31" s="207" t="str">
        <f>OFFSET(ASISTENCIA!$E$1,MATCH($G31,ASISTENCIA!$E:$E,0)-1,MATCH(BS$1,ASISTENCIA!$3:$3,0)-5,1,1)</f>
        <v>#N/A</v>
      </c>
      <c r="BT31" s="207" t="str">
        <f>OFFSET(ASISTENCIA!$E$1,MATCH($G31,ASISTENCIA!$E:$E,0)-1,MATCH(BT$1,ASISTENCIA!$3:$3,0)-5,1,1)</f>
        <v>#N/A</v>
      </c>
      <c r="BU31" s="215" t="str">
        <f>OFFSET(ASISTENCIA!$E$1,MATCH($G31,ASISTENCIA!$E:$E,0)-1,MATCH(BU$1,ASISTENCIA!$3:$3,0)-5,1,1)</f>
        <v>#N/A</v>
      </c>
      <c r="BV31" s="215" t="str">
        <f>OFFSET(ASISTENCIA!$E$1,MATCH($G31,ASISTENCIA!$E:$E,0)-1,MATCH(BV$1,ASISTENCIA!$3:$3,0)-5,1,1)</f>
        <v>#N/A</v>
      </c>
      <c r="BW31" s="55"/>
      <c r="BX31" s="55"/>
      <c r="BY31" s="55"/>
    </row>
    <row r="32">
      <c r="A32" s="123">
        <f t="shared" si="22"/>
        <v>29</v>
      </c>
      <c r="B32" s="127"/>
      <c r="C32" s="128"/>
      <c r="D32" s="128"/>
      <c r="E32" s="127"/>
      <c r="F32" s="127"/>
      <c r="G32" s="128"/>
      <c r="H32" s="128"/>
      <c r="I32" s="129"/>
      <c r="J32" s="129" t="str">
        <f>DEVO!F33</f>
        <v/>
      </c>
      <c r="K32" s="129" t="str">
        <f t="shared" si="1"/>
        <v/>
      </c>
      <c r="L32" s="131" t="str">
        <f>IF(TODAY()&gt;=$O$1-6,SUM(OFFSET(ASISTENCIA!$E$1,MATCH($G32,ASISTENCIA!$E:$E,0)-1,MATCH(L$1,ASISTENCIA!$3:$3,0)-5,1,1)),"")</f>
        <v>#N/A</v>
      </c>
      <c r="M32" s="131" t="str">
        <f>OFFSET(ASISTENCIA!$E$1,MATCH($G32,ASISTENCIA!$E:$E,0)-1,MATCH(M$1,ASISTENCIA!$3:$3,0)-5,1,1)</f>
        <v>#N/A</v>
      </c>
      <c r="N32" s="131" t="str">
        <f>OFFSET(ASISTENCIA!$E$1,MATCH($G32,ASISTENCIA!$E:$E,0)-1,MATCH(N$1,ASISTENCIA!$3:$3,0)-5,1,1)</f>
        <v>#N/A</v>
      </c>
      <c r="O32" s="136" t="str">
        <f>IF(TODAY()&gt;=$O$1-6,SUM(OFFSET(DEVO!$F$1,MATCH($G32,DEVO!$E:$E,0)-1,MATCH(L$1,DEVO!$1:$1,0)-6,1,7)),"")</f>
        <v>#N/A</v>
      </c>
      <c r="P32" s="131" t="str">
        <f>IF(TODAY()&gt;=$S$1-6,SUM(OFFSET(ASISTENCIA!$E$1,MATCH($G32,ASISTENCIA!$E:$E,0)-1,MATCH(P$1,ASISTENCIA!$3:$3,0)-5,1,1)),"")</f>
        <v>#N/A</v>
      </c>
      <c r="Q32" s="131" t="str">
        <f>OFFSET(ASISTENCIA!$E$1,MATCH($G32,ASISTENCIA!$E:$E,0)-1,MATCH(Q$1,ASISTENCIA!$3:$3,0)-5,1,1)</f>
        <v>#N/A</v>
      </c>
      <c r="R32" s="131" t="str">
        <f>OFFSET(ASISTENCIA!$E$1,MATCH($G32,ASISTENCIA!$E:$E,0)-1,MATCH(R$1,ASISTENCIA!$3:$3,0)-5,1,1)</f>
        <v>#N/A</v>
      </c>
      <c r="S32" s="136" t="str">
        <f>IF(TODAY()&gt;=$S$1-6,SUM(OFFSET(DEVO!$F$1,MATCH($G32,DEVO!$E:$E,0)-1,MATCH(P$1,DEVO!$1:$1,0)-6,1,7)),"")</f>
        <v>#N/A</v>
      </c>
      <c r="T32" s="131" t="str">
        <f>IF(TODAY()&gt;=$W$1-6,SUM(OFFSET(ASISTENCIA!$E$1,MATCH($G32,ASISTENCIA!$E:$E,0)-1,MATCH(T$1,ASISTENCIA!$3:$3,0)-5,1,1)),"")</f>
        <v>#N/A</v>
      </c>
      <c r="U32" s="131" t="str">
        <f>OFFSET(ASISTENCIA!$E$1,MATCH($G32,ASISTENCIA!$E:$E,0)-1,MATCH(U$1,ASISTENCIA!$3:$3,0)-5,1,1)</f>
        <v>#N/A</v>
      </c>
      <c r="V32" s="131" t="str">
        <f>OFFSET(ASISTENCIA!$E$1,MATCH($G32,ASISTENCIA!$E:$E,0)-1,MATCH(V$1,ASISTENCIA!$3:$3,0)-5,1,1)</f>
        <v>#N/A</v>
      </c>
      <c r="W32" s="136" t="str">
        <f>IF(TODAY()&gt;=$W$1-6,SUM(OFFSET(DEVO!$F$1,MATCH($G32,DEVO!$E:$E,0)-1,MATCH(T$1,DEVO!$1:$1,0)-6,1,7)),"")</f>
        <v>#N/A</v>
      </c>
      <c r="X32" s="131" t="str">
        <f>IF(TODAY()&gt;=$AA$1-6,SUM(OFFSET(ASISTENCIA!$E$1,MATCH($G32,ASISTENCIA!$E:$E,0)-1,MATCH(X$1,ASISTENCIA!$3:$3,0)-5,1,1)),"")</f>
        <v>#N/A</v>
      </c>
      <c r="Y32" s="131" t="str">
        <f>OFFSET(ASISTENCIA!$E$1,MATCH($G32,ASISTENCIA!$E:$E,0)-1,MATCH(Y$1,ASISTENCIA!$3:$3,0)-5,1,1)</f>
        <v>#N/A</v>
      </c>
      <c r="Z32" s="131" t="str">
        <f>OFFSET(ASISTENCIA!$E$1,MATCH($G32,ASISTENCIA!$E:$E,0)-1,MATCH(Z$1,ASISTENCIA!$3:$3,0)-5,1,1)</f>
        <v>#N/A</v>
      </c>
      <c r="AA32" s="136" t="str">
        <f>IF(TODAY()&gt;=$AA$1-6,SUM(OFFSET(DEVO!$F$1,MATCH($G32,DEVO!$E:$E,0)-1,MATCH(X$1,DEVO!$1:$1,0)-6,1,7)),"")</f>
        <v>#N/A</v>
      </c>
      <c r="AB32" s="131" t="str">
        <f>IF(TODAY()&gt;=$AE$1-6,SUM(OFFSET(ASISTENCIA!$E$1,MATCH($G32,ASISTENCIA!$E:$E,0)-1,MATCH(AB$1,ASISTENCIA!$3:$3,0)-5,1,1)),"")</f>
        <v>#N/A</v>
      </c>
      <c r="AC32" s="131" t="str">
        <f>OFFSET(ASISTENCIA!$E$1,MATCH($G32,ASISTENCIA!$E:$E,0)-1,MATCH(AC$1,ASISTENCIA!$3:$3,0)-5,1,1)</f>
        <v>#N/A</v>
      </c>
      <c r="AD32" s="131" t="str">
        <f>OFFSET(ASISTENCIA!$E$1,MATCH($G32,ASISTENCIA!$E:$E,0)-1,MATCH(AD$1,ASISTENCIA!$3:$3,0)-5,1,1)</f>
        <v>#N/A</v>
      </c>
      <c r="AE32" s="136" t="str">
        <f>IF(TODAY()&gt;=$AE$1-6,SUM(OFFSET(DEVO!$F$1,MATCH($G32,DEVO!$E:$E,0)-1,MATCH(AB$1,DEVO!$1:$1,0)-6,1,7)),"")</f>
        <v>#N/A</v>
      </c>
      <c r="AF32" s="131" t="str">
        <f>IF(TODAY()&gt;=$AI$1-6,SUM(OFFSET(ASISTENCIA!$E$1,MATCH($G32,ASISTENCIA!$E:$E,0)-1,MATCH(AF$1,ASISTENCIA!$3:$3,0)-5,1,1)),"")</f>
        <v>#N/A</v>
      </c>
      <c r="AG32" s="131" t="str">
        <f>OFFSET(ASISTENCIA!$E$1,MATCH($G32,ASISTENCIA!$E:$E,0)-1,MATCH(AG$1,ASISTENCIA!$3:$3,0)-5,1,1)</f>
        <v>#N/A</v>
      </c>
      <c r="AH32" s="131" t="str">
        <f>OFFSET(ASISTENCIA!$E$1,MATCH($G32,ASISTENCIA!$E:$E,0)-1,MATCH(AH$1,ASISTENCIA!$3:$3,0)-5,1,1)</f>
        <v>#N/A</v>
      </c>
      <c r="AI32" s="136" t="str">
        <f>IF(TODAY()&gt;=$AI$1-6,SUM(OFFSET(DEVO!$F$1,MATCH($G32,DEVO!$E:$E,0)-1,MATCH(AF$1,DEVO!$1:$1,0)-6,1,7)),"")</f>
        <v>#N/A</v>
      </c>
      <c r="AJ32" s="131" t="str">
        <f>IF(TODAY()&gt;=$AM$1-6,SUM(OFFSET(ASISTENCIA!$E$1,MATCH($G32,ASISTENCIA!$E:$E,0)-1,MATCH(AJ$1,ASISTENCIA!$3:$3,0)-5,1,1)),"")</f>
        <v>#N/A</v>
      </c>
      <c r="AK32" s="131" t="str">
        <f>OFFSET(ASISTENCIA!$E$1,MATCH($G32,ASISTENCIA!$E:$E,0)-1,MATCH(AK$1,ASISTENCIA!$3:$3,0)-5,1,1)</f>
        <v>#N/A</v>
      </c>
      <c r="AL32" s="131" t="str">
        <f>OFFSET(ASISTENCIA!$E$1,MATCH($G32,ASISTENCIA!$E:$E,0)-1,MATCH(AL$1,ASISTENCIA!$3:$3,0)-5,1,1)</f>
        <v>#N/A</v>
      </c>
      <c r="AM32" s="136" t="str">
        <f>IF(TODAY()&gt;=$AM$1-6,SUM(OFFSET(DEVO!$F$1,MATCH($G32,DEVO!$E:$E,0)-1,MATCH(AJ$1,DEVO!$1:$1,0)-6,1,7)),"")</f>
        <v>#N/A</v>
      </c>
      <c r="AN32" s="131" t="str">
        <f>IF(TODAY()&gt;=$AQ$1-6,SUM(OFFSET(ASISTENCIA!$E$1,MATCH($G32,ASISTENCIA!$E:$E,0)-1,MATCH(AN$1,ASISTENCIA!$3:$3,0)-5,1,1)),"")</f>
        <v>#N/A</v>
      </c>
      <c r="AO32" s="131" t="str">
        <f>OFFSET(ASISTENCIA!$E$1,MATCH($G32,ASISTENCIA!$E:$E,0)-1,MATCH(AO$1,ASISTENCIA!$3:$3,0)-5,1,1)</f>
        <v>#N/A</v>
      </c>
      <c r="AP32" s="131" t="str">
        <f>OFFSET(ASISTENCIA!$E$1,MATCH($G32,ASISTENCIA!$E:$E,0)-1,MATCH(AP$1,ASISTENCIA!$3:$3,0)-5,1,1)</f>
        <v>#N/A</v>
      </c>
      <c r="AQ32" s="136" t="str">
        <f>IF(TODAY()&gt;=$AQ$1-6,SUM(OFFSET(DEVO!$F$1,MATCH($G32,DEVO!$E:$E,0)-1,MATCH(AN$1,DEVO!$1:$1,0)-6,1,7)),"")</f>
        <v>#N/A</v>
      </c>
      <c r="AR32" s="131" t="str">
        <f>IF(TODAY()&gt;=$AU$1-6,SUM(OFFSET(ASISTENCIA!$E$1,MATCH($G32,ASISTENCIA!$E:$E,0)-1,MATCH(AR$1,ASISTENCIA!$3:$3,0)-5,1,1)),"")</f>
        <v>#N/A</v>
      </c>
      <c r="AS32" s="131" t="str">
        <f>OFFSET(ASISTENCIA!$E$1,MATCH($G32,ASISTENCIA!$E:$E,0)-1,MATCH(AS$1,ASISTENCIA!$3:$3,0)-5,1,1)</f>
        <v>#N/A</v>
      </c>
      <c r="AT32" s="131" t="str">
        <f>OFFSET(ASISTENCIA!$E$1,MATCH($G32,ASISTENCIA!$E:$E,0)-1,MATCH(AT$1,ASISTENCIA!$3:$3,0)-5,1,1)</f>
        <v>#N/A</v>
      </c>
      <c r="AU32" s="136" t="str">
        <f>IF(TODAY()&gt;=$AU$1-6,SUM(OFFSET(DEVO!$F$1,MATCH($G32,DEVO!$E:$E,0)-1,MATCH(AR$1,DEVO!$1:$1,0)-6,1,7)),"")</f>
        <v>#N/A</v>
      </c>
      <c r="AV32" s="131" t="str">
        <f>OFFSET(ASISTENCIA!$E$1,MATCH($G32,ASISTENCIA!$E:$E,0)-1,MATCH(AV$1,ASISTENCIA!$3:$3,0)-5,1,1)</f>
        <v>#N/A</v>
      </c>
      <c r="AW32" s="131" t="str">
        <f>OFFSET(ASISTENCIA!$E$1,MATCH($G32,ASISTENCIA!$E:$E,0)-1,MATCH(AW$1,ASISTENCIA!$3:$3,0)-5,1,1)</f>
        <v>#N/A</v>
      </c>
      <c r="AY32" s="173">
        <f t="shared" si="2"/>
        <v>0</v>
      </c>
      <c r="AZ32" s="174">
        <f t="shared" si="3"/>
        <v>0</v>
      </c>
      <c r="BA32" s="174">
        <f t="shared" si="4"/>
        <v>0</v>
      </c>
      <c r="BB32" s="174">
        <f t="shared" si="5"/>
        <v>0</v>
      </c>
      <c r="BC32" s="174">
        <f t="shared" si="6"/>
        <v>0</v>
      </c>
      <c r="BD32" s="174">
        <f t="shared" si="7"/>
        <v>0</v>
      </c>
      <c r="BE32" s="174">
        <f t="shared" si="8"/>
        <v>0</v>
      </c>
      <c r="BF32" s="174">
        <f t="shared" si="9"/>
        <v>0</v>
      </c>
      <c r="BG32" s="174">
        <f t="shared" si="10"/>
        <v>0</v>
      </c>
      <c r="BH32" s="152">
        <f t="shared" si="11"/>
        <v>0</v>
      </c>
      <c r="BI32" s="153" t="str">
        <f t="shared" si="12"/>
        <v>OBSERVADOS</v>
      </c>
      <c r="BJ32" s="175" t="str">
        <f t="shared" si="13"/>
        <v>#N/A</v>
      </c>
      <c r="BK32" s="176" t="str">
        <f t="shared" si="14"/>
        <v>#N/A</v>
      </c>
      <c r="BL32" s="176" t="str">
        <f t="shared" si="15"/>
        <v>#N/A</v>
      </c>
      <c r="BM32" s="176" t="str">
        <f t="shared" si="16"/>
        <v>#N/A</v>
      </c>
      <c r="BN32" s="176" t="str">
        <f t="shared" si="17"/>
        <v>#N/A</v>
      </c>
      <c r="BO32" s="176" t="str">
        <f t="shared" si="18"/>
        <v>#N/A</v>
      </c>
      <c r="BP32" s="176" t="str">
        <f t="shared" si="19"/>
        <v>#N/A</v>
      </c>
      <c r="BQ32" s="176" t="str">
        <f t="shared" si="20"/>
        <v>#N/A</v>
      </c>
      <c r="BR32" s="176" t="str">
        <f t="shared" si="21"/>
        <v>#N/A</v>
      </c>
      <c r="BS32" s="207" t="str">
        <f>OFFSET(ASISTENCIA!$E$1,MATCH($G32,ASISTENCIA!$E:$E,0)-1,MATCH(BS$1,ASISTENCIA!$3:$3,0)-5,1,1)</f>
        <v>#N/A</v>
      </c>
      <c r="BT32" s="207" t="str">
        <f>OFFSET(ASISTENCIA!$E$1,MATCH($G32,ASISTENCIA!$E:$E,0)-1,MATCH(BT$1,ASISTENCIA!$3:$3,0)-5,1,1)</f>
        <v>#N/A</v>
      </c>
      <c r="BU32" s="215" t="str">
        <f>OFFSET(ASISTENCIA!$E$1,MATCH($G32,ASISTENCIA!$E:$E,0)-1,MATCH(BU$1,ASISTENCIA!$3:$3,0)-5,1,1)</f>
        <v>#N/A</v>
      </c>
      <c r="BV32" s="215" t="str">
        <f>OFFSET(ASISTENCIA!$E$1,MATCH($G32,ASISTENCIA!$E:$E,0)-1,MATCH(BV$1,ASISTENCIA!$3:$3,0)-5,1,1)</f>
        <v>#N/A</v>
      </c>
      <c r="BW32" s="55"/>
      <c r="BX32" s="55"/>
      <c r="BY32" s="55"/>
    </row>
    <row r="33">
      <c r="A33" s="123">
        <f t="shared" si="22"/>
        <v>30</v>
      </c>
      <c r="B33" s="127"/>
      <c r="C33" s="128"/>
      <c r="D33" s="128"/>
      <c r="E33" s="127"/>
      <c r="F33" s="127"/>
      <c r="G33" s="128"/>
      <c r="H33" s="128"/>
      <c r="I33" s="129"/>
      <c r="J33" s="129" t="str">
        <f>DEVO!F34</f>
        <v/>
      </c>
      <c r="K33" s="129" t="str">
        <f t="shared" si="1"/>
        <v/>
      </c>
      <c r="L33" s="131" t="str">
        <f>IF(TODAY()&gt;=$O$1-6,SUM(OFFSET(ASISTENCIA!$E$1,MATCH($G33,ASISTENCIA!$E:$E,0)-1,MATCH(L$1,ASISTENCIA!$3:$3,0)-5,1,1)),"")</f>
        <v>#N/A</v>
      </c>
      <c r="M33" s="131" t="str">
        <f>OFFSET(ASISTENCIA!$E$1,MATCH($G33,ASISTENCIA!$E:$E,0)-1,MATCH(M$1,ASISTENCIA!$3:$3,0)-5,1,1)</f>
        <v>#N/A</v>
      </c>
      <c r="N33" s="131" t="str">
        <f>OFFSET(ASISTENCIA!$E$1,MATCH($G33,ASISTENCIA!$E:$E,0)-1,MATCH(N$1,ASISTENCIA!$3:$3,0)-5,1,1)</f>
        <v>#N/A</v>
      </c>
      <c r="O33" s="136" t="str">
        <f>IF(TODAY()&gt;=$O$1-6,SUM(OFFSET(DEVO!$F$1,MATCH($G33,DEVO!$E:$E,0)-1,MATCH(L$1,DEVO!$1:$1,0)-6,1,7)),"")</f>
        <v>#N/A</v>
      </c>
      <c r="P33" s="131" t="str">
        <f>IF(TODAY()&gt;=$S$1-6,SUM(OFFSET(ASISTENCIA!$E$1,MATCH($G33,ASISTENCIA!$E:$E,0)-1,MATCH(P$1,ASISTENCIA!$3:$3,0)-5,1,1)),"")</f>
        <v>#N/A</v>
      </c>
      <c r="Q33" s="131" t="str">
        <f>OFFSET(ASISTENCIA!$E$1,MATCH($G33,ASISTENCIA!$E:$E,0)-1,MATCH(Q$1,ASISTENCIA!$3:$3,0)-5,1,1)</f>
        <v>#N/A</v>
      </c>
      <c r="R33" s="131" t="str">
        <f>OFFSET(ASISTENCIA!$E$1,MATCH($G33,ASISTENCIA!$E:$E,0)-1,MATCH(R$1,ASISTENCIA!$3:$3,0)-5,1,1)</f>
        <v>#N/A</v>
      </c>
      <c r="S33" s="136" t="str">
        <f>IF(TODAY()&gt;=$S$1-6,SUM(OFFSET(DEVO!$F$1,MATCH($G33,DEVO!$E:$E,0)-1,MATCH(P$1,DEVO!$1:$1,0)-6,1,7)),"")</f>
        <v>#N/A</v>
      </c>
      <c r="T33" s="131" t="str">
        <f>IF(TODAY()&gt;=$W$1-6,SUM(OFFSET(ASISTENCIA!$E$1,MATCH($G33,ASISTENCIA!$E:$E,0)-1,MATCH(T$1,ASISTENCIA!$3:$3,0)-5,1,1)),"")</f>
        <v>#N/A</v>
      </c>
      <c r="U33" s="131" t="str">
        <f>OFFSET(ASISTENCIA!$E$1,MATCH($G33,ASISTENCIA!$E:$E,0)-1,MATCH(U$1,ASISTENCIA!$3:$3,0)-5,1,1)</f>
        <v>#N/A</v>
      </c>
      <c r="V33" s="131" t="str">
        <f>OFFSET(ASISTENCIA!$E$1,MATCH($G33,ASISTENCIA!$E:$E,0)-1,MATCH(V$1,ASISTENCIA!$3:$3,0)-5,1,1)</f>
        <v>#N/A</v>
      </c>
      <c r="W33" s="136" t="str">
        <f>IF(TODAY()&gt;=$W$1-6,SUM(OFFSET(DEVO!$F$1,MATCH($G33,DEVO!$E:$E,0)-1,MATCH(T$1,DEVO!$1:$1,0)-6,1,7)),"")</f>
        <v>#N/A</v>
      </c>
      <c r="X33" s="131" t="str">
        <f>IF(TODAY()&gt;=$AA$1-6,SUM(OFFSET(ASISTENCIA!$E$1,MATCH($G33,ASISTENCIA!$E:$E,0)-1,MATCH(X$1,ASISTENCIA!$3:$3,0)-5,1,1)),"")</f>
        <v>#N/A</v>
      </c>
      <c r="Y33" s="131" t="str">
        <f>OFFSET(ASISTENCIA!$E$1,MATCH($G33,ASISTENCIA!$E:$E,0)-1,MATCH(Y$1,ASISTENCIA!$3:$3,0)-5,1,1)</f>
        <v>#N/A</v>
      </c>
      <c r="Z33" s="131" t="str">
        <f>OFFSET(ASISTENCIA!$E$1,MATCH($G33,ASISTENCIA!$E:$E,0)-1,MATCH(Z$1,ASISTENCIA!$3:$3,0)-5,1,1)</f>
        <v>#N/A</v>
      </c>
      <c r="AA33" s="136" t="str">
        <f>IF(TODAY()&gt;=$AA$1-6,SUM(OFFSET(DEVO!$F$1,MATCH($G33,DEVO!$E:$E,0)-1,MATCH(X$1,DEVO!$1:$1,0)-6,1,7)),"")</f>
        <v>#N/A</v>
      </c>
      <c r="AB33" s="131" t="str">
        <f>IF(TODAY()&gt;=$AE$1-6,SUM(OFFSET(ASISTENCIA!$E$1,MATCH($G33,ASISTENCIA!$E:$E,0)-1,MATCH(AB$1,ASISTENCIA!$3:$3,0)-5,1,1)),"")</f>
        <v>#N/A</v>
      </c>
      <c r="AC33" s="131" t="str">
        <f>OFFSET(ASISTENCIA!$E$1,MATCH($G33,ASISTENCIA!$E:$E,0)-1,MATCH(AC$1,ASISTENCIA!$3:$3,0)-5,1,1)</f>
        <v>#N/A</v>
      </c>
      <c r="AD33" s="131" t="str">
        <f>OFFSET(ASISTENCIA!$E$1,MATCH($G33,ASISTENCIA!$E:$E,0)-1,MATCH(AD$1,ASISTENCIA!$3:$3,0)-5,1,1)</f>
        <v>#N/A</v>
      </c>
      <c r="AE33" s="136" t="str">
        <f>IF(TODAY()&gt;=$AE$1-6,SUM(OFFSET(DEVO!$F$1,MATCH($G33,DEVO!$E:$E,0)-1,MATCH(AB$1,DEVO!$1:$1,0)-6,1,7)),"")</f>
        <v>#N/A</v>
      </c>
      <c r="AF33" s="131" t="str">
        <f>IF(TODAY()&gt;=$AI$1-6,SUM(OFFSET(ASISTENCIA!$E$1,MATCH($G33,ASISTENCIA!$E:$E,0)-1,MATCH(AF$1,ASISTENCIA!$3:$3,0)-5,1,1)),"")</f>
        <v>#N/A</v>
      </c>
      <c r="AG33" s="131" t="str">
        <f>OFFSET(ASISTENCIA!$E$1,MATCH($G33,ASISTENCIA!$E:$E,0)-1,MATCH(AG$1,ASISTENCIA!$3:$3,0)-5,1,1)</f>
        <v>#N/A</v>
      </c>
      <c r="AH33" s="131" t="str">
        <f>OFFSET(ASISTENCIA!$E$1,MATCH($G33,ASISTENCIA!$E:$E,0)-1,MATCH(AH$1,ASISTENCIA!$3:$3,0)-5,1,1)</f>
        <v>#N/A</v>
      </c>
      <c r="AI33" s="136" t="str">
        <f>IF(TODAY()&gt;=$AI$1-6,SUM(OFFSET(DEVO!$F$1,MATCH($G33,DEVO!$E:$E,0)-1,MATCH(AF$1,DEVO!$1:$1,0)-6,1,7)),"")</f>
        <v>#N/A</v>
      </c>
      <c r="AJ33" s="131" t="str">
        <f>IF(TODAY()&gt;=$AM$1-6,SUM(OFFSET(ASISTENCIA!$E$1,MATCH($G33,ASISTENCIA!$E:$E,0)-1,MATCH(AJ$1,ASISTENCIA!$3:$3,0)-5,1,1)),"")</f>
        <v>#N/A</v>
      </c>
      <c r="AK33" s="131" t="str">
        <f>OFFSET(ASISTENCIA!$E$1,MATCH($G33,ASISTENCIA!$E:$E,0)-1,MATCH(AK$1,ASISTENCIA!$3:$3,0)-5,1,1)</f>
        <v>#N/A</v>
      </c>
      <c r="AL33" s="131" t="str">
        <f>OFFSET(ASISTENCIA!$E$1,MATCH($G33,ASISTENCIA!$E:$E,0)-1,MATCH(AL$1,ASISTENCIA!$3:$3,0)-5,1,1)</f>
        <v>#N/A</v>
      </c>
      <c r="AM33" s="136" t="str">
        <f>IF(TODAY()&gt;=$AM$1-6,SUM(OFFSET(DEVO!$F$1,MATCH($G33,DEVO!$E:$E,0)-1,MATCH(AJ$1,DEVO!$1:$1,0)-6,1,7)),"")</f>
        <v>#N/A</v>
      </c>
      <c r="AN33" s="131" t="str">
        <f>IF(TODAY()&gt;=$AQ$1-6,SUM(OFFSET(ASISTENCIA!$E$1,MATCH($G33,ASISTENCIA!$E:$E,0)-1,MATCH(AN$1,ASISTENCIA!$3:$3,0)-5,1,1)),"")</f>
        <v>#N/A</v>
      </c>
      <c r="AO33" s="131" t="str">
        <f>OFFSET(ASISTENCIA!$E$1,MATCH($G33,ASISTENCIA!$E:$E,0)-1,MATCH(AO$1,ASISTENCIA!$3:$3,0)-5,1,1)</f>
        <v>#N/A</v>
      </c>
      <c r="AP33" s="131" t="str">
        <f>OFFSET(ASISTENCIA!$E$1,MATCH($G33,ASISTENCIA!$E:$E,0)-1,MATCH(AP$1,ASISTENCIA!$3:$3,0)-5,1,1)</f>
        <v>#N/A</v>
      </c>
      <c r="AQ33" s="136" t="str">
        <f>IF(TODAY()&gt;=$AQ$1-6,SUM(OFFSET(DEVO!$F$1,MATCH($G33,DEVO!$E:$E,0)-1,MATCH(AN$1,DEVO!$1:$1,0)-6,1,7)),"")</f>
        <v>#N/A</v>
      </c>
      <c r="AR33" s="131" t="str">
        <f>IF(TODAY()&gt;=$AU$1-6,SUM(OFFSET(ASISTENCIA!$E$1,MATCH($G33,ASISTENCIA!$E:$E,0)-1,MATCH(AR$1,ASISTENCIA!$3:$3,0)-5,1,1)),"")</f>
        <v>#N/A</v>
      </c>
      <c r="AS33" s="131" t="str">
        <f>OFFSET(ASISTENCIA!$E$1,MATCH($G33,ASISTENCIA!$E:$E,0)-1,MATCH(AS$1,ASISTENCIA!$3:$3,0)-5,1,1)</f>
        <v>#N/A</v>
      </c>
      <c r="AT33" s="131" t="str">
        <f>OFFSET(ASISTENCIA!$E$1,MATCH($G33,ASISTENCIA!$E:$E,0)-1,MATCH(AT$1,ASISTENCIA!$3:$3,0)-5,1,1)</f>
        <v>#N/A</v>
      </c>
      <c r="AU33" s="136" t="str">
        <f>IF(TODAY()&gt;=$AU$1-6,SUM(OFFSET(DEVO!$F$1,MATCH($G33,DEVO!$E:$E,0)-1,MATCH(AR$1,DEVO!$1:$1,0)-6,1,7)),"")</f>
        <v>#N/A</v>
      </c>
      <c r="AV33" s="131" t="str">
        <f>OFFSET(ASISTENCIA!$E$1,MATCH($G33,ASISTENCIA!$E:$E,0)-1,MATCH(AV$1,ASISTENCIA!$3:$3,0)-5,1,1)</f>
        <v>#N/A</v>
      </c>
      <c r="AW33" s="131" t="str">
        <f>OFFSET(ASISTENCIA!$E$1,MATCH($G33,ASISTENCIA!$E:$E,0)-1,MATCH(AW$1,ASISTENCIA!$3:$3,0)-5,1,1)</f>
        <v>#N/A</v>
      </c>
      <c r="AY33" s="173">
        <f t="shared" si="2"/>
        <v>0</v>
      </c>
      <c r="AZ33" s="174">
        <f t="shared" si="3"/>
        <v>0</v>
      </c>
      <c r="BA33" s="174">
        <f t="shared" si="4"/>
        <v>0</v>
      </c>
      <c r="BB33" s="174">
        <f t="shared" si="5"/>
        <v>0</v>
      </c>
      <c r="BC33" s="174">
        <f t="shared" si="6"/>
        <v>0</v>
      </c>
      <c r="BD33" s="174">
        <f t="shared" si="7"/>
        <v>0</v>
      </c>
      <c r="BE33" s="174">
        <f t="shared" si="8"/>
        <v>0</v>
      </c>
      <c r="BF33" s="174">
        <f t="shared" si="9"/>
        <v>0</v>
      </c>
      <c r="BG33" s="174">
        <f t="shared" si="10"/>
        <v>0</v>
      </c>
      <c r="BH33" s="152">
        <f t="shared" si="11"/>
        <v>0</v>
      </c>
      <c r="BI33" s="153" t="str">
        <f t="shared" si="12"/>
        <v>OBSERVADOS</v>
      </c>
      <c r="BJ33" s="175" t="str">
        <f t="shared" si="13"/>
        <v>#N/A</v>
      </c>
      <c r="BK33" s="176" t="str">
        <f t="shared" si="14"/>
        <v>#N/A</v>
      </c>
      <c r="BL33" s="176" t="str">
        <f t="shared" si="15"/>
        <v>#N/A</v>
      </c>
      <c r="BM33" s="176" t="str">
        <f t="shared" si="16"/>
        <v>#N/A</v>
      </c>
      <c r="BN33" s="176" t="str">
        <f t="shared" si="17"/>
        <v>#N/A</v>
      </c>
      <c r="BO33" s="176" t="str">
        <f t="shared" si="18"/>
        <v>#N/A</v>
      </c>
      <c r="BP33" s="176" t="str">
        <f t="shared" si="19"/>
        <v>#N/A</v>
      </c>
      <c r="BQ33" s="176" t="str">
        <f t="shared" si="20"/>
        <v>#N/A</v>
      </c>
      <c r="BR33" s="176" t="str">
        <f t="shared" si="21"/>
        <v>#N/A</v>
      </c>
      <c r="BS33" s="207" t="str">
        <f>OFFSET(ASISTENCIA!$E$1,MATCH($G33,ASISTENCIA!$E:$E,0)-1,MATCH(BS$1,ASISTENCIA!$3:$3,0)-5,1,1)</f>
        <v>#N/A</v>
      </c>
      <c r="BT33" s="207" t="str">
        <f>OFFSET(ASISTENCIA!$E$1,MATCH($G33,ASISTENCIA!$E:$E,0)-1,MATCH(BT$1,ASISTENCIA!$3:$3,0)-5,1,1)</f>
        <v>#N/A</v>
      </c>
      <c r="BU33" s="215" t="str">
        <f>OFFSET(ASISTENCIA!$E$1,MATCH($G33,ASISTENCIA!$E:$E,0)-1,MATCH(BU$1,ASISTENCIA!$3:$3,0)-5,1,1)</f>
        <v>#N/A</v>
      </c>
      <c r="BV33" s="215" t="str">
        <f>OFFSET(ASISTENCIA!$E$1,MATCH($G33,ASISTENCIA!$E:$E,0)-1,MATCH(BV$1,ASISTENCIA!$3:$3,0)-5,1,1)</f>
        <v>#N/A</v>
      </c>
      <c r="BW33" s="55"/>
      <c r="BX33" s="55"/>
      <c r="BY33" s="55"/>
    </row>
    <row r="34">
      <c r="A34" s="123">
        <f t="shared" si="22"/>
        <v>31</v>
      </c>
      <c r="B34" s="127"/>
      <c r="C34" s="128"/>
      <c r="D34" s="128"/>
      <c r="E34" s="127"/>
      <c r="F34" s="127"/>
      <c r="G34" s="128"/>
      <c r="H34" s="128"/>
      <c r="I34" s="129"/>
      <c r="J34" s="129" t="str">
        <f>DEVO!F35</f>
        <v/>
      </c>
      <c r="K34" s="129" t="str">
        <f t="shared" si="1"/>
        <v/>
      </c>
      <c r="L34" s="131" t="str">
        <f>IF(TODAY()&gt;=$O$1-6,SUM(OFFSET(ASISTENCIA!$E$1,MATCH($G34,ASISTENCIA!$E:$E,0)-1,MATCH(L$1,ASISTENCIA!$3:$3,0)-5,1,1)),"")</f>
        <v>#N/A</v>
      </c>
      <c r="M34" s="131" t="str">
        <f>OFFSET(ASISTENCIA!$E$1,MATCH($G34,ASISTENCIA!$E:$E,0)-1,MATCH(M$1,ASISTENCIA!$3:$3,0)-5,1,1)</f>
        <v>#N/A</v>
      </c>
      <c r="N34" s="131" t="str">
        <f>OFFSET(ASISTENCIA!$E$1,MATCH($G34,ASISTENCIA!$E:$E,0)-1,MATCH(N$1,ASISTENCIA!$3:$3,0)-5,1,1)</f>
        <v>#N/A</v>
      </c>
      <c r="O34" s="136" t="str">
        <f>IF(TODAY()&gt;=$O$1-6,SUM(OFFSET(DEVO!$F$1,MATCH($G34,DEVO!$E:$E,0)-1,MATCH(L$1,DEVO!$1:$1,0)-6,1,7)),"")</f>
        <v>#N/A</v>
      </c>
      <c r="P34" s="131" t="str">
        <f>IF(TODAY()&gt;=$S$1-6,SUM(OFFSET(ASISTENCIA!$E$1,MATCH($G34,ASISTENCIA!$E:$E,0)-1,MATCH(P$1,ASISTENCIA!$3:$3,0)-5,1,1)),"")</f>
        <v>#N/A</v>
      </c>
      <c r="Q34" s="131" t="str">
        <f>OFFSET(ASISTENCIA!$E$1,MATCH($G34,ASISTENCIA!$E:$E,0)-1,MATCH(Q$1,ASISTENCIA!$3:$3,0)-5,1,1)</f>
        <v>#N/A</v>
      </c>
      <c r="R34" s="131" t="str">
        <f>OFFSET(ASISTENCIA!$E$1,MATCH($G34,ASISTENCIA!$E:$E,0)-1,MATCH(R$1,ASISTENCIA!$3:$3,0)-5,1,1)</f>
        <v>#N/A</v>
      </c>
      <c r="S34" s="136" t="str">
        <f>IF(TODAY()&gt;=$S$1-6,SUM(OFFSET(DEVO!$F$1,MATCH($G34,DEVO!$E:$E,0)-1,MATCH(P$1,DEVO!$1:$1,0)-6,1,7)),"")</f>
        <v>#N/A</v>
      </c>
      <c r="T34" s="131" t="str">
        <f>IF(TODAY()&gt;=$W$1-6,SUM(OFFSET(ASISTENCIA!$E$1,MATCH($G34,ASISTENCIA!$E:$E,0)-1,MATCH(T$1,ASISTENCIA!$3:$3,0)-5,1,1)),"")</f>
        <v>#N/A</v>
      </c>
      <c r="U34" s="131" t="str">
        <f>OFFSET(ASISTENCIA!$E$1,MATCH($G34,ASISTENCIA!$E:$E,0)-1,MATCH(U$1,ASISTENCIA!$3:$3,0)-5,1,1)</f>
        <v>#N/A</v>
      </c>
      <c r="V34" s="131" t="str">
        <f>OFFSET(ASISTENCIA!$E$1,MATCH($G34,ASISTENCIA!$E:$E,0)-1,MATCH(V$1,ASISTENCIA!$3:$3,0)-5,1,1)</f>
        <v>#N/A</v>
      </c>
      <c r="W34" s="136" t="str">
        <f>IF(TODAY()&gt;=$W$1-6,SUM(OFFSET(DEVO!$F$1,MATCH($G34,DEVO!$E:$E,0)-1,MATCH(T$1,DEVO!$1:$1,0)-6,1,7)),"")</f>
        <v>#N/A</v>
      </c>
      <c r="X34" s="131" t="str">
        <f>IF(TODAY()&gt;=$AA$1-6,SUM(OFFSET(ASISTENCIA!$E$1,MATCH($G34,ASISTENCIA!$E:$E,0)-1,MATCH(X$1,ASISTENCIA!$3:$3,0)-5,1,1)),"")</f>
        <v>#N/A</v>
      </c>
      <c r="Y34" s="131" t="str">
        <f>OFFSET(ASISTENCIA!$E$1,MATCH($G34,ASISTENCIA!$E:$E,0)-1,MATCH(Y$1,ASISTENCIA!$3:$3,0)-5,1,1)</f>
        <v>#N/A</v>
      </c>
      <c r="Z34" s="131" t="str">
        <f>OFFSET(ASISTENCIA!$E$1,MATCH($G34,ASISTENCIA!$E:$E,0)-1,MATCH(Z$1,ASISTENCIA!$3:$3,0)-5,1,1)</f>
        <v>#N/A</v>
      </c>
      <c r="AA34" s="136" t="str">
        <f>IF(TODAY()&gt;=$AA$1-6,SUM(OFFSET(DEVO!$F$1,MATCH($G34,DEVO!$E:$E,0)-1,MATCH(X$1,DEVO!$1:$1,0)-6,1,7)),"")</f>
        <v>#N/A</v>
      </c>
      <c r="AB34" s="131" t="str">
        <f>IF(TODAY()&gt;=$AE$1-6,SUM(OFFSET(ASISTENCIA!$E$1,MATCH($G34,ASISTENCIA!$E:$E,0)-1,MATCH(AB$1,ASISTENCIA!$3:$3,0)-5,1,1)),"")</f>
        <v>#N/A</v>
      </c>
      <c r="AC34" s="131" t="str">
        <f>OFFSET(ASISTENCIA!$E$1,MATCH($G34,ASISTENCIA!$E:$E,0)-1,MATCH(AC$1,ASISTENCIA!$3:$3,0)-5,1,1)</f>
        <v>#N/A</v>
      </c>
      <c r="AD34" s="131" t="str">
        <f>OFFSET(ASISTENCIA!$E$1,MATCH($G34,ASISTENCIA!$E:$E,0)-1,MATCH(AD$1,ASISTENCIA!$3:$3,0)-5,1,1)</f>
        <v>#N/A</v>
      </c>
      <c r="AE34" s="136" t="str">
        <f>IF(TODAY()&gt;=$AE$1-6,SUM(OFFSET(DEVO!$F$1,MATCH($G34,DEVO!$E:$E,0)-1,MATCH(AB$1,DEVO!$1:$1,0)-6,1,7)),"")</f>
        <v>#N/A</v>
      </c>
      <c r="AF34" s="131" t="str">
        <f>IF(TODAY()&gt;=$AI$1-6,SUM(OFFSET(ASISTENCIA!$E$1,MATCH($G34,ASISTENCIA!$E:$E,0)-1,MATCH(AF$1,ASISTENCIA!$3:$3,0)-5,1,1)),"")</f>
        <v>#N/A</v>
      </c>
      <c r="AG34" s="131" t="str">
        <f>OFFSET(ASISTENCIA!$E$1,MATCH($G34,ASISTENCIA!$E:$E,0)-1,MATCH(AG$1,ASISTENCIA!$3:$3,0)-5,1,1)</f>
        <v>#N/A</v>
      </c>
      <c r="AH34" s="131" t="str">
        <f>OFFSET(ASISTENCIA!$E$1,MATCH($G34,ASISTENCIA!$E:$E,0)-1,MATCH(AH$1,ASISTENCIA!$3:$3,0)-5,1,1)</f>
        <v>#N/A</v>
      </c>
      <c r="AI34" s="136" t="str">
        <f>IF(TODAY()&gt;=$AI$1-6,SUM(OFFSET(DEVO!$F$1,MATCH($G34,DEVO!$E:$E,0)-1,MATCH(AF$1,DEVO!$1:$1,0)-6,1,7)),"")</f>
        <v>#N/A</v>
      </c>
      <c r="AJ34" s="131" t="str">
        <f>IF(TODAY()&gt;=$AM$1-6,SUM(OFFSET(ASISTENCIA!$E$1,MATCH($G34,ASISTENCIA!$E:$E,0)-1,MATCH(AJ$1,ASISTENCIA!$3:$3,0)-5,1,1)),"")</f>
        <v>#N/A</v>
      </c>
      <c r="AK34" s="131" t="str">
        <f>OFFSET(ASISTENCIA!$E$1,MATCH($G34,ASISTENCIA!$E:$E,0)-1,MATCH(AK$1,ASISTENCIA!$3:$3,0)-5,1,1)</f>
        <v>#N/A</v>
      </c>
      <c r="AL34" s="131" t="str">
        <f>OFFSET(ASISTENCIA!$E$1,MATCH($G34,ASISTENCIA!$E:$E,0)-1,MATCH(AL$1,ASISTENCIA!$3:$3,0)-5,1,1)</f>
        <v>#N/A</v>
      </c>
      <c r="AM34" s="136" t="str">
        <f>IF(TODAY()&gt;=$AM$1-6,SUM(OFFSET(DEVO!$F$1,MATCH($G34,DEVO!$E:$E,0)-1,MATCH(AJ$1,DEVO!$1:$1,0)-6,1,7)),"")</f>
        <v>#N/A</v>
      </c>
      <c r="AN34" s="131" t="str">
        <f>IF(TODAY()&gt;=$AQ$1-6,SUM(OFFSET(ASISTENCIA!$E$1,MATCH($G34,ASISTENCIA!$E:$E,0)-1,MATCH(AN$1,ASISTENCIA!$3:$3,0)-5,1,1)),"")</f>
        <v>#N/A</v>
      </c>
      <c r="AO34" s="131" t="str">
        <f>OFFSET(ASISTENCIA!$E$1,MATCH($G34,ASISTENCIA!$E:$E,0)-1,MATCH(AO$1,ASISTENCIA!$3:$3,0)-5,1,1)</f>
        <v>#N/A</v>
      </c>
      <c r="AP34" s="131" t="str">
        <f>OFFSET(ASISTENCIA!$E$1,MATCH($G34,ASISTENCIA!$E:$E,0)-1,MATCH(AP$1,ASISTENCIA!$3:$3,0)-5,1,1)</f>
        <v>#N/A</v>
      </c>
      <c r="AQ34" s="136" t="str">
        <f>IF(TODAY()&gt;=$AQ$1-6,SUM(OFFSET(DEVO!$F$1,MATCH($G34,DEVO!$E:$E,0)-1,MATCH(AN$1,DEVO!$1:$1,0)-6,1,7)),"")</f>
        <v>#N/A</v>
      </c>
      <c r="AR34" s="131" t="str">
        <f>IF(TODAY()&gt;=$AU$1-6,SUM(OFFSET(ASISTENCIA!$E$1,MATCH($G34,ASISTENCIA!$E:$E,0)-1,MATCH(AR$1,ASISTENCIA!$3:$3,0)-5,1,1)),"")</f>
        <v>#N/A</v>
      </c>
      <c r="AS34" s="131" t="str">
        <f>OFFSET(ASISTENCIA!$E$1,MATCH($G34,ASISTENCIA!$E:$E,0)-1,MATCH(AS$1,ASISTENCIA!$3:$3,0)-5,1,1)</f>
        <v>#N/A</v>
      </c>
      <c r="AT34" s="131" t="str">
        <f>OFFSET(ASISTENCIA!$E$1,MATCH($G34,ASISTENCIA!$E:$E,0)-1,MATCH(AT$1,ASISTENCIA!$3:$3,0)-5,1,1)</f>
        <v>#N/A</v>
      </c>
      <c r="AU34" s="136" t="str">
        <f>IF(TODAY()&gt;=$AU$1-6,SUM(OFFSET(DEVO!$F$1,MATCH($G34,DEVO!$E:$E,0)-1,MATCH(AR$1,DEVO!$1:$1,0)-6,1,7)),"")</f>
        <v>#N/A</v>
      </c>
      <c r="AV34" s="131" t="str">
        <f>OFFSET(ASISTENCIA!$E$1,MATCH($G34,ASISTENCIA!$E:$E,0)-1,MATCH(AV$1,ASISTENCIA!$3:$3,0)-5,1,1)</f>
        <v>#N/A</v>
      </c>
      <c r="AW34" s="131" t="str">
        <f>OFFSET(ASISTENCIA!$E$1,MATCH($G34,ASISTENCIA!$E:$E,0)-1,MATCH(AW$1,ASISTENCIA!$3:$3,0)-5,1,1)</f>
        <v>#N/A</v>
      </c>
      <c r="AY34" s="173">
        <f t="shared" si="2"/>
        <v>0</v>
      </c>
      <c r="AZ34" s="174">
        <f t="shared" si="3"/>
        <v>0</v>
      </c>
      <c r="BA34" s="174">
        <f t="shared" si="4"/>
        <v>0</v>
      </c>
      <c r="BB34" s="174">
        <f t="shared" si="5"/>
        <v>0</v>
      </c>
      <c r="BC34" s="174">
        <f t="shared" si="6"/>
        <v>0</v>
      </c>
      <c r="BD34" s="174">
        <f t="shared" si="7"/>
        <v>0</v>
      </c>
      <c r="BE34" s="174">
        <f t="shared" si="8"/>
        <v>0</v>
      </c>
      <c r="BF34" s="174">
        <f t="shared" si="9"/>
        <v>0</v>
      </c>
      <c r="BG34" s="174">
        <f t="shared" si="10"/>
        <v>0</v>
      </c>
      <c r="BH34" s="152">
        <f t="shared" si="11"/>
        <v>0</v>
      </c>
      <c r="BI34" s="153" t="str">
        <f t="shared" si="12"/>
        <v>OBSERVADOS</v>
      </c>
      <c r="BJ34" s="175" t="str">
        <f t="shared" si="13"/>
        <v>#N/A</v>
      </c>
      <c r="BK34" s="176" t="str">
        <f t="shared" si="14"/>
        <v>#N/A</v>
      </c>
      <c r="BL34" s="176" t="str">
        <f t="shared" si="15"/>
        <v>#N/A</v>
      </c>
      <c r="BM34" s="176" t="str">
        <f t="shared" si="16"/>
        <v>#N/A</v>
      </c>
      <c r="BN34" s="176" t="str">
        <f t="shared" si="17"/>
        <v>#N/A</v>
      </c>
      <c r="BO34" s="176" t="str">
        <f t="shared" si="18"/>
        <v>#N/A</v>
      </c>
      <c r="BP34" s="176" t="str">
        <f t="shared" si="19"/>
        <v>#N/A</v>
      </c>
      <c r="BQ34" s="176" t="str">
        <f t="shared" si="20"/>
        <v>#N/A</v>
      </c>
      <c r="BR34" s="176" t="str">
        <f t="shared" si="21"/>
        <v>#N/A</v>
      </c>
      <c r="BS34" s="207" t="str">
        <f>OFFSET(ASISTENCIA!$E$1,MATCH($G34,ASISTENCIA!$E:$E,0)-1,MATCH(BS$1,ASISTENCIA!$3:$3,0)-5,1,1)</f>
        <v>#N/A</v>
      </c>
      <c r="BT34" s="207" t="str">
        <f>OFFSET(ASISTENCIA!$E$1,MATCH($G34,ASISTENCIA!$E:$E,0)-1,MATCH(BT$1,ASISTENCIA!$3:$3,0)-5,1,1)</f>
        <v>#N/A</v>
      </c>
      <c r="BU34" s="215" t="str">
        <f>OFFSET(ASISTENCIA!$E$1,MATCH($G34,ASISTENCIA!$E:$E,0)-1,MATCH(BU$1,ASISTENCIA!$3:$3,0)-5,1,1)</f>
        <v>#N/A</v>
      </c>
      <c r="BV34" s="215" t="str">
        <f>OFFSET(ASISTENCIA!$E$1,MATCH($G34,ASISTENCIA!$E:$E,0)-1,MATCH(BV$1,ASISTENCIA!$3:$3,0)-5,1,1)</f>
        <v>#N/A</v>
      </c>
      <c r="BW34" s="55"/>
      <c r="BX34" s="55"/>
      <c r="BY34" s="55"/>
    </row>
    <row r="35">
      <c r="A35" s="123">
        <f t="shared" si="22"/>
        <v>32</v>
      </c>
      <c r="B35" s="127"/>
      <c r="C35" s="128"/>
      <c r="D35" s="128"/>
      <c r="E35" s="127"/>
      <c r="F35" s="127"/>
      <c r="G35" s="128"/>
      <c r="H35" s="128"/>
      <c r="I35" s="129"/>
      <c r="J35" s="129" t="str">
        <f>DEVO!F36</f>
        <v/>
      </c>
      <c r="K35" s="129" t="str">
        <f t="shared" si="1"/>
        <v/>
      </c>
      <c r="L35" s="131" t="str">
        <f>IF(TODAY()&gt;=$O$1-6,SUM(OFFSET(ASISTENCIA!$E$1,MATCH($G35,ASISTENCIA!$E:$E,0)-1,MATCH(L$1,ASISTENCIA!$3:$3,0)-5,1,1)),"")</f>
        <v>#N/A</v>
      </c>
      <c r="M35" s="131" t="str">
        <f>OFFSET(ASISTENCIA!$E$1,MATCH($G35,ASISTENCIA!$E:$E,0)-1,MATCH(M$1,ASISTENCIA!$3:$3,0)-5,1,1)</f>
        <v>#N/A</v>
      </c>
      <c r="N35" s="131" t="str">
        <f>OFFSET(ASISTENCIA!$E$1,MATCH($G35,ASISTENCIA!$E:$E,0)-1,MATCH(N$1,ASISTENCIA!$3:$3,0)-5,1,1)</f>
        <v>#N/A</v>
      </c>
      <c r="O35" s="136" t="str">
        <f>IF(TODAY()&gt;=$O$1-6,SUM(OFFSET(DEVO!$F$1,MATCH($G35,DEVO!$E:$E,0)-1,MATCH(L$1,DEVO!$1:$1,0)-6,1,7)),"")</f>
        <v>#N/A</v>
      </c>
      <c r="P35" s="131" t="str">
        <f>IF(TODAY()&gt;=$S$1-6,SUM(OFFSET(ASISTENCIA!$E$1,MATCH($G35,ASISTENCIA!$E:$E,0)-1,MATCH(P$1,ASISTENCIA!$3:$3,0)-5,1,1)),"")</f>
        <v>#N/A</v>
      </c>
      <c r="Q35" s="131" t="str">
        <f>OFFSET(ASISTENCIA!$E$1,MATCH($G35,ASISTENCIA!$E:$E,0)-1,MATCH(Q$1,ASISTENCIA!$3:$3,0)-5,1,1)</f>
        <v>#N/A</v>
      </c>
      <c r="R35" s="131" t="str">
        <f>OFFSET(ASISTENCIA!$E$1,MATCH($G35,ASISTENCIA!$E:$E,0)-1,MATCH(R$1,ASISTENCIA!$3:$3,0)-5,1,1)</f>
        <v>#N/A</v>
      </c>
      <c r="S35" s="136" t="str">
        <f>IF(TODAY()&gt;=$S$1-6,SUM(OFFSET(DEVO!$F$1,MATCH($G35,DEVO!$E:$E,0)-1,MATCH(P$1,DEVO!$1:$1,0)-6,1,7)),"")</f>
        <v>#N/A</v>
      </c>
      <c r="T35" s="131" t="str">
        <f>IF(TODAY()&gt;=$W$1-6,SUM(OFFSET(ASISTENCIA!$E$1,MATCH($G35,ASISTENCIA!$E:$E,0)-1,MATCH(T$1,ASISTENCIA!$3:$3,0)-5,1,1)),"")</f>
        <v>#N/A</v>
      </c>
      <c r="U35" s="131" t="str">
        <f>OFFSET(ASISTENCIA!$E$1,MATCH($G35,ASISTENCIA!$E:$E,0)-1,MATCH(U$1,ASISTENCIA!$3:$3,0)-5,1,1)</f>
        <v>#N/A</v>
      </c>
      <c r="V35" s="131" t="str">
        <f>OFFSET(ASISTENCIA!$E$1,MATCH($G35,ASISTENCIA!$E:$E,0)-1,MATCH(V$1,ASISTENCIA!$3:$3,0)-5,1,1)</f>
        <v>#N/A</v>
      </c>
      <c r="W35" s="136" t="str">
        <f>IF(TODAY()&gt;=$W$1-6,SUM(OFFSET(DEVO!$F$1,MATCH($G35,DEVO!$E:$E,0)-1,MATCH(T$1,DEVO!$1:$1,0)-6,1,7)),"")</f>
        <v>#N/A</v>
      </c>
      <c r="X35" s="131" t="str">
        <f>IF(TODAY()&gt;=$AA$1-6,SUM(OFFSET(ASISTENCIA!$E$1,MATCH($G35,ASISTENCIA!$E:$E,0)-1,MATCH(X$1,ASISTENCIA!$3:$3,0)-5,1,1)),"")</f>
        <v>#N/A</v>
      </c>
      <c r="Y35" s="131" t="str">
        <f>OFFSET(ASISTENCIA!$E$1,MATCH($G35,ASISTENCIA!$E:$E,0)-1,MATCH(Y$1,ASISTENCIA!$3:$3,0)-5,1,1)</f>
        <v>#N/A</v>
      </c>
      <c r="Z35" s="131" t="str">
        <f>OFFSET(ASISTENCIA!$E$1,MATCH($G35,ASISTENCIA!$E:$E,0)-1,MATCH(Z$1,ASISTENCIA!$3:$3,0)-5,1,1)</f>
        <v>#N/A</v>
      </c>
      <c r="AA35" s="136" t="str">
        <f>IF(TODAY()&gt;=$AA$1-6,SUM(OFFSET(DEVO!$F$1,MATCH($G35,DEVO!$E:$E,0)-1,MATCH(X$1,DEVO!$1:$1,0)-6,1,7)),"")</f>
        <v>#N/A</v>
      </c>
      <c r="AB35" s="131" t="str">
        <f>IF(TODAY()&gt;=$AE$1-6,SUM(OFFSET(ASISTENCIA!$E$1,MATCH($G35,ASISTENCIA!$E:$E,0)-1,MATCH(AB$1,ASISTENCIA!$3:$3,0)-5,1,1)),"")</f>
        <v>#N/A</v>
      </c>
      <c r="AC35" s="131" t="str">
        <f>OFFSET(ASISTENCIA!$E$1,MATCH($G35,ASISTENCIA!$E:$E,0)-1,MATCH(AC$1,ASISTENCIA!$3:$3,0)-5,1,1)</f>
        <v>#N/A</v>
      </c>
      <c r="AD35" s="131" t="str">
        <f>OFFSET(ASISTENCIA!$E$1,MATCH($G35,ASISTENCIA!$E:$E,0)-1,MATCH(AD$1,ASISTENCIA!$3:$3,0)-5,1,1)</f>
        <v>#N/A</v>
      </c>
      <c r="AE35" s="136" t="str">
        <f>IF(TODAY()&gt;=$AE$1-6,SUM(OFFSET(DEVO!$F$1,MATCH($G35,DEVO!$E:$E,0)-1,MATCH(AB$1,DEVO!$1:$1,0)-6,1,7)),"")</f>
        <v>#N/A</v>
      </c>
      <c r="AF35" s="131" t="str">
        <f>IF(TODAY()&gt;=$AI$1-6,SUM(OFFSET(ASISTENCIA!$E$1,MATCH($G35,ASISTENCIA!$E:$E,0)-1,MATCH(AF$1,ASISTENCIA!$3:$3,0)-5,1,1)),"")</f>
        <v>#N/A</v>
      </c>
      <c r="AG35" s="131" t="str">
        <f>OFFSET(ASISTENCIA!$E$1,MATCH($G35,ASISTENCIA!$E:$E,0)-1,MATCH(AG$1,ASISTENCIA!$3:$3,0)-5,1,1)</f>
        <v>#N/A</v>
      </c>
      <c r="AH35" s="131" t="str">
        <f>OFFSET(ASISTENCIA!$E$1,MATCH($G35,ASISTENCIA!$E:$E,0)-1,MATCH(AH$1,ASISTENCIA!$3:$3,0)-5,1,1)</f>
        <v>#N/A</v>
      </c>
      <c r="AI35" s="136" t="str">
        <f>IF(TODAY()&gt;=$AI$1-6,SUM(OFFSET(DEVO!$F$1,MATCH($G35,DEVO!$E:$E,0)-1,MATCH(AF$1,DEVO!$1:$1,0)-6,1,7)),"")</f>
        <v>#N/A</v>
      </c>
      <c r="AJ35" s="131" t="str">
        <f>IF(TODAY()&gt;=$AM$1-6,SUM(OFFSET(ASISTENCIA!$E$1,MATCH($G35,ASISTENCIA!$E:$E,0)-1,MATCH(AJ$1,ASISTENCIA!$3:$3,0)-5,1,1)),"")</f>
        <v>#N/A</v>
      </c>
      <c r="AK35" s="131" t="str">
        <f>OFFSET(ASISTENCIA!$E$1,MATCH($G35,ASISTENCIA!$E:$E,0)-1,MATCH(AK$1,ASISTENCIA!$3:$3,0)-5,1,1)</f>
        <v>#N/A</v>
      </c>
      <c r="AL35" s="131" t="str">
        <f>OFFSET(ASISTENCIA!$E$1,MATCH($G35,ASISTENCIA!$E:$E,0)-1,MATCH(AL$1,ASISTENCIA!$3:$3,0)-5,1,1)</f>
        <v>#N/A</v>
      </c>
      <c r="AM35" s="136" t="str">
        <f>IF(TODAY()&gt;=$AM$1-6,SUM(OFFSET(DEVO!$F$1,MATCH($G35,DEVO!$E:$E,0)-1,MATCH(AJ$1,DEVO!$1:$1,0)-6,1,7)),"")</f>
        <v>#N/A</v>
      </c>
      <c r="AN35" s="131" t="str">
        <f>IF(TODAY()&gt;=$AQ$1-6,SUM(OFFSET(ASISTENCIA!$E$1,MATCH($G35,ASISTENCIA!$E:$E,0)-1,MATCH(AN$1,ASISTENCIA!$3:$3,0)-5,1,1)),"")</f>
        <v>#N/A</v>
      </c>
      <c r="AO35" s="131" t="str">
        <f>OFFSET(ASISTENCIA!$E$1,MATCH($G35,ASISTENCIA!$E:$E,0)-1,MATCH(AO$1,ASISTENCIA!$3:$3,0)-5,1,1)</f>
        <v>#N/A</v>
      </c>
      <c r="AP35" s="131" t="str">
        <f>OFFSET(ASISTENCIA!$E$1,MATCH($G35,ASISTENCIA!$E:$E,0)-1,MATCH(AP$1,ASISTENCIA!$3:$3,0)-5,1,1)</f>
        <v>#N/A</v>
      </c>
      <c r="AQ35" s="136" t="str">
        <f>IF(TODAY()&gt;=$AQ$1-6,SUM(OFFSET(DEVO!$F$1,MATCH($G35,DEVO!$E:$E,0)-1,MATCH(AN$1,DEVO!$1:$1,0)-6,1,7)),"")</f>
        <v>#N/A</v>
      </c>
      <c r="AR35" s="131" t="str">
        <f>IF(TODAY()&gt;=$AU$1-6,SUM(OFFSET(ASISTENCIA!$E$1,MATCH($G35,ASISTENCIA!$E:$E,0)-1,MATCH(AR$1,ASISTENCIA!$3:$3,0)-5,1,1)),"")</f>
        <v>#N/A</v>
      </c>
      <c r="AS35" s="131" t="str">
        <f>OFFSET(ASISTENCIA!$E$1,MATCH($G35,ASISTENCIA!$E:$E,0)-1,MATCH(AS$1,ASISTENCIA!$3:$3,0)-5,1,1)</f>
        <v>#N/A</v>
      </c>
      <c r="AT35" s="131" t="str">
        <f>OFFSET(ASISTENCIA!$E$1,MATCH($G35,ASISTENCIA!$E:$E,0)-1,MATCH(AT$1,ASISTENCIA!$3:$3,0)-5,1,1)</f>
        <v>#N/A</v>
      </c>
      <c r="AU35" s="136" t="str">
        <f>IF(TODAY()&gt;=$AU$1-6,SUM(OFFSET(DEVO!$F$1,MATCH($G35,DEVO!$E:$E,0)-1,MATCH(AR$1,DEVO!$1:$1,0)-6,1,7)),"")</f>
        <v>#N/A</v>
      </c>
      <c r="AV35" s="131" t="str">
        <f>OFFSET(ASISTENCIA!$E$1,MATCH($G35,ASISTENCIA!$E:$E,0)-1,MATCH(AV$1,ASISTENCIA!$3:$3,0)-5,1,1)</f>
        <v>#N/A</v>
      </c>
      <c r="AW35" s="131" t="str">
        <f>OFFSET(ASISTENCIA!$E$1,MATCH($G35,ASISTENCIA!$E:$E,0)-1,MATCH(AW$1,ASISTENCIA!$3:$3,0)-5,1,1)</f>
        <v>#N/A</v>
      </c>
      <c r="AY35" s="173">
        <f t="shared" si="2"/>
        <v>0</v>
      </c>
      <c r="AZ35" s="174">
        <f t="shared" si="3"/>
        <v>0</v>
      </c>
      <c r="BA35" s="174">
        <f t="shared" si="4"/>
        <v>0</v>
      </c>
      <c r="BB35" s="174">
        <f t="shared" si="5"/>
        <v>0</v>
      </c>
      <c r="BC35" s="174">
        <f t="shared" si="6"/>
        <v>0</v>
      </c>
      <c r="BD35" s="174">
        <f t="shared" si="7"/>
        <v>0</v>
      </c>
      <c r="BE35" s="174">
        <f t="shared" si="8"/>
        <v>0</v>
      </c>
      <c r="BF35" s="174">
        <f t="shared" si="9"/>
        <v>0</v>
      </c>
      <c r="BG35" s="174">
        <f t="shared" si="10"/>
        <v>0</v>
      </c>
      <c r="BH35" s="152">
        <f t="shared" si="11"/>
        <v>0</v>
      </c>
      <c r="BI35" s="153" t="str">
        <f t="shared" si="12"/>
        <v>OBSERVADOS</v>
      </c>
      <c r="BJ35" s="175" t="str">
        <f t="shared" si="13"/>
        <v>#N/A</v>
      </c>
      <c r="BK35" s="176" t="str">
        <f t="shared" si="14"/>
        <v>#N/A</v>
      </c>
      <c r="BL35" s="176" t="str">
        <f t="shared" si="15"/>
        <v>#N/A</v>
      </c>
      <c r="BM35" s="176" t="str">
        <f t="shared" si="16"/>
        <v>#N/A</v>
      </c>
      <c r="BN35" s="176" t="str">
        <f t="shared" si="17"/>
        <v>#N/A</v>
      </c>
      <c r="BO35" s="176" t="str">
        <f t="shared" si="18"/>
        <v>#N/A</v>
      </c>
      <c r="BP35" s="176" t="str">
        <f t="shared" si="19"/>
        <v>#N/A</v>
      </c>
      <c r="BQ35" s="176" t="str">
        <f t="shared" si="20"/>
        <v>#N/A</v>
      </c>
      <c r="BR35" s="176" t="str">
        <f t="shared" si="21"/>
        <v>#N/A</v>
      </c>
      <c r="BS35" s="207" t="str">
        <f>OFFSET(ASISTENCIA!$E$1,MATCH($G35,ASISTENCIA!$E:$E,0)-1,MATCH(BS$1,ASISTENCIA!$3:$3,0)-5,1,1)</f>
        <v>#N/A</v>
      </c>
      <c r="BT35" s="207" t="str">
        <f>OFFSET(ASISTENCIA!$E$1,MATCH($G35,ASISTENCIA!$E:$E,0)-1,MATCH(BT$1,ASISTENCIA!$3:$3,0)-5,1,1)</f>
        <v>#N/A</v>
      </c>
      <c r="BU35" s="215" t="str">
        <f>OFFSET(ASISTENCIA!$E$1,MATCH($G35,ASISTENCIA!$E:$E,0)-1,MATCH(BU$1,ASISTENCIA!$3:$3,0)-5,1,1)</f>
        <v>#N/A</v>
      </c>
      <c r="BV35" s="215" t="str">
        <f>OFFSET(ASISTENCIA!$E$1,MATCH($G35,ASISTENCIA!$E:$E,0)-1,MATCH(BV$1,ASISTENCIA!$3:$3,0)-5,1,1)</f>
        <v>#N/A</v>
      </c>
      <c r="BW35" s="55"/>
      <c r="BX35" s="55"/>
      <c r="BY35" s="55"/>
    </row>
    <row r="36">
      <c r="A36" s="123">
        <f t="shared" si="22"/>
        <v>33</v>
      </c>
      <c r="B36" s="127"/>
      <c r="C36" s="128"/>
      <c r="D36" s="128"/>
      <c r="E36" s="127"/>
      <c r="F36" s="127"/>
      <c r="G36" s="128"/>
      <c r="H36" s="128"/>
      <c r="I36" s="129"/>
      <c r="J36" s="129" t="str">
        <f>DEVO!F37</f>
        <v/>
      </c>
      <c r="K36" s="129" t="str">
        <f t="shared" si="1"/>
        <v/>
      </c>
      <c r="L36" s="131" t="str">
        <f>IF(TODAY()&gt;=$O$1-6,SUM(OFFSET(ASISTENCIA!$E$1,MATCH($G36,ASISTENCIA!$E:$E,0)-1,MATCH(L$1,ASISTENCIA!$3:$3,0)-5,1,1)),"")</f>
        <v>#N/A</v>
      </c>
      <c r="M36" s="131" t="str">
        <f>OFFSET(ASISTENCIA!$E$1,MATCH($G36,ASISTENCIA!$E:$E,0)-1,MATCH(M$1,ASISTENCIA!$3:$3,0)-5,1,1)</f>
        <v>#N/A</v>
      </c>
      <c r="N36" s="131" t="str">
        <f>OFFSET(ASISTENCIA!$E$1,MATCH($G36,ASISTENCIA!$E:$E,0)-1,MATCH(N$1,ASISTENCIA!$3:$3,0)-5,1,1)</f>
        <v>#N/A</v>
      </c>
      <c r="O36" s="136" t="str">
        <f>IF(TODAY()&gt;=$O$1-6,SUM(OFFSET(DEVO!$F$1,MATCH($G36,DEVO!$E:$E,0)-1,MATCH(L$1,DEVO!$1:$1,0)-6,1,7)),"")</f>
        <v>#N/A</v>
      </c>
      <c r="P36" s="131" t="str">
        <f>IF(TODAY()&gt;=$S$1-6,SUM(OFFSET(ASISTENCIA!$E$1,MATCH($G36,ASISTENCIA!$E:$E,0)-1,MATCH(P$1,ASISTENCIA!$3:$3,0)-5,1,1)),"")</f>
        <v>#N/A</v>
      </c>
      <c r="Q36" s="131" t="str">
        <f>OFFSET(ASISTENCIA!$E$1,MATCH($G36,ASISTENCIA!$E:$E,0)-1,MATCH(Q$1,ASISTENCIA!$3:$3,0)-5,1,1)</f>
        <v>#N/A</v>
      </c>
      <c r="R36" s="131" t="str">
        <f>OFFSET(ASISTENCIA!$E$1,MATCH($G36,ASISTENCIA!$E:$E,0)-1,MATCH(R$1,ASISTENCIA!$3:$3,0)-5,1,1)</f>
        <v>#N/A</v>
      </c>
      <c r="S36" s="136" t="str">
        <f>IF(TODAY()&gt;=$S$1-6,SUM(OFFSET(DEVO!$F$1,MATCH($G36,DEVO!$E:$E,0)-1,MATCH(P$1,DEVO!$1:$1,0)-6,1,7)),"")</f>
        <v>#N/A</v>
      </c>
      <c r="T36" s="131" t="str">
        <f>IF(TODAY()&gt;=$W$1-6,SUM(OFFSET(ASISTENCIA!$E$1,MATCH($G36,ASISTENCIA!$E:$E,0)-1,MATCH(T$1,ASISTENCIA!$3:$3,0)-5,1,1)),"")</f>
        <v>#N/A</v>
      </c>
      <c r="U36" s="131" t="str">
        <f>OFFSET(ASISTENCIA!$E$1,MATCH($G36,ASISTENCIA!$E:$E,0)-1,MATCH(U$1,ASISTENCIA!$3:$3,0)-5,1,1)</f>
        <v>#N/A</v>
      </c>
      <c r="V36" s="131" t="str">
        <f>OFFSET(ASISTENCIA!$E$1,MATCH($G36,ASISTENCIA!$E:$E,0)-1,MATCH(V$1,ASISTENCIA!$3:$3,0)-5,1,1)</f>
        <v>#N/A</v>
      </c>
      <c r="W36" s="136" t="str">
        <f>IF(TODAY()&gt;=$W$1-6,SUM(OFFSET(DEVO!$F$1,MATCH($G36,DEVO!$E:$E,0)-1,MATCH(T$1,DEVO!$1:$1,0)-6,1,7)),"")</f>
        <v>#N/A</v>
      </c>
      <c r="X36" s="131" t="str">
        <f>IF(TODAY()&gt;=$AA$1-6,SUM(OFFSET(ASISTENCIA!$E$1,MATCH($G36,ASISTENCIA!$E:$E,0)-1,MATCH(X$1,ASISTENCIA!$3:$3,0)-5,1,1)),"")</f>
        <v>#N/A</v>
      </c>
      <c r="Y36" s="131" t="str">
        <f>OFFSET(ASISTENCIA!$E$1,MATCH($G36,ASISTENCIA!$E:$E,0)-1,MATCH(Y$1,ASISTENCIA!$3:$3,0)-5,1,1)</f>
        <v>#N/A</v>
      </c>
      <c r="Z36" s="131" t="str">
        <f>OFFSET(ASISTENCIA!$E$1,MATCH($G36,ASISTENCIA!$E:$E,0)-1,MATCH(Z$1,ASISTENCIA!$3:$3,0)-5,1,1)</f>
        <v>#N/A</v>
      </c>
      <c r="AA36" s="136" t="str">
        <f>IF(TODAY()&gt;=$AA$1-6,SUM(OFFSET(DEVO!$F$1,MATCH($G36,DEVO!$E:$E,0)-1,MATCH(X$1,DEVO!$1:$1,0)-6,1,7)),"")</f>
        <v>#N/A</v>
      </c>
      <c r="AB36" s="131" t="str">
        <f>IF(TODAY()&gt;=$AE$1-6,SUM(OFFSET(ASISTENCIA!$E$1,MATCH($G36,ASISTENCIA!$E:$E,0)-1,MATCH(AB$1,ASISTENCIA!$3:$3,0)-5,1,1)),"")</f>
        <v>#N/A</v>
      </c>
      <c r="AC36" s="131" t="str">
        <f>OFFSET(ASISTENCIA!$E$1,MATCH($G36,ASISTENCIA!$E:$E,0)-1,MATCH(AC$1,ASISTENCIA!$3:$3,0)-5,1,1)</f>
        <v>#N/A</v>
      </c>
      <c r="AD36" s="131" t="str">
        <f>OFFSET(ASISTENCIA!$E$1,MATCH($G36,ASISTENCIA!$E:$E,0)-1,MATCH(AD$1,ASISTENCIA!$3:$3,0)-5,1,1)</f>
        <v>#N/A</v>
      </c>
      <c r="AE36" s="136" t="str">
        <f>IF(TODAY()&gt;=$AE$1-6,SUM(OFFSET(DEVO!$F$1,MATCH($G36,DEVO!$E:$E,0)-1,MATCH(AB$1,DEVO!$1:$1,0)-6,1,7)),"")</f>
        <v>#N/A</v>
      </c>
      <c r="AF36" s="131" t="str">
        <f>IF(TODAY()&gt;=$AI$1-6,SUM(OFFSET(ASISTENCIA!$E$1,MATCH($G36,ASISTENCIA!$E:$E,0)-1,MATCH(AF$1,ASISTENCIA!$3:$3,0)-5,1,1)),"")</f>
        <v>#N/A</v>
      </c>
      <c r="AG36" s="131" t="str">
        <f>OFFSET(ASISTENCIA!$E$1,MATCH($G36,ASISTENCIA!$E:$E,0)-1,MATCH(AG$1,ASISTENCIA!$3:$3,0)-5,1,1)</f>
        <v>#N/A</v>
      </c>
      <c r="AH36" s="131" t="str">
        <f>OFFSET(ASISTENCIA!$E$1,MATCH($G36,ASISTENCIA!$E:$E,0)-1,MATCH(AH$1,ASISTENCIA!$3:$3,0)-5,1,1)</f>
        <v>#N/A</v>
      </c>
      <c r="AI36" s="136" t="str">
        <f>IF(TODAY()&gt;=$AI$1-6,SUM(OFFSET(DEVO!$F$1,MATCH($G36,DEVO!$E:$E,0)-1,MATCH(AF$1,DEVO!$1:$1,0)-6,1,7)),"")</f>
        <v>#N/A</v>
      </c>
      <c r="AJ36" s="131" t="str">
        <f>IF(TODAY()&gt;=$AM$1-6,SUM(OFFSET(ASISTENCIA!$E$1,MATCH($G36,ASISTENCIA!$E:$E,0)-1,MATCH(AJ$1,ASISTENCIA!$3:$3,0)-5,1,1)),"")</f>
        <v>#N/A</v>
      </c>
      <c r="AK36" s="131" t="str">
        <f>OFFSET(ASISTENCIA!$E$1,MATCH($G36,ASISTENCIA!$E:$E,0)-1,MATCH(AK$1,ASISTENCIA!$3:$3,0)-5,1,1)</f>
        <v>#N/A</v>
      </c>
      <c r="AL36" s="131" t="str">
        <f>OFFSET(ASISTENCIA!$E$1,MATCH($G36,ASISTENCIA!$E:$E,0)-1,MATCH(AL$1,ASISTENCIA!$3:$3,0)-5,1,1)</f>
        <v>#N/A</v>
      </c>
      <c r="AM36" s="136" t="str">
        <f>IF(TODAY()&gt;=$AM$1-6,SUM(OFFSET(DEVO!$F$1,MATCH($G36,DEVO!$E:$E,0)-1,MATCH(AJ$1,DEVO!$1:$1,0)-6,1,7)),"")</f>
        <v>#N/A</v>
      </c>
      <c r="AN36" s="131" t="str">
        <f>IF(TODAY()&gt;=$AQ$1-6,SUM(OFFSET(ASISTENCIA!$E$1,MATCH($G36,ASISTENCIA!$E:$E,0)-1,MATCH(AN$1,ASISTENCIA!$3:$3,0)-5,1,1)),"")</f>
        <v>#N/A</v>
      </c>
      <c r="AO36" s="131" t="str">
        <f>OFFSET(ASISTENCIA!$E$1,MATCH($G36,ASISTENCIA!$E:$E,0)-1,MATCH(AO$1,ASISTENCIA!$3:$3,0)-5,1,1)</f>
        <v>#N/A</v>
      </c>
      <c r="AP36" s="131" t="str">
        <f>OFFSET(ASISTENCIA!$E$1,MATCH($G36,ASISTENCIA!$E:$E,0)-1,MATCH(AP$1,ASISTENCIA!$3:$3,0)-5,1,1)</f>
        <v>#N/A</v>
      </c>
      <c r="AQ36" s="136" t="str">
        <f>IF(TODAY()&gt;=$AQ$1-6,SUM(OFFSET(DEVO!$F$1,MATCH($G36,DEVO!$E:$E,0)-1,MATCH(AN$1,DEVO!$1:$1,0)-6,1,7)),"")</f>
        <v>#N/A</v>
      </c>
      <c r="AR36" s="131" t="str">
        <f>IF(TODAY()&gt;=$AU$1-6,SUM(OFFSET(ASISTENCIA!$E$1,MATCH($G36,ASISTENCIA!$E:$E,0)-1,MATCH(AR$1,ASISTENCIA!$3:$3,0)-5,1,1)),"")</f>
        <v>#N/A</v>
      </c>
      <c r="AS36" s="131" t="str">
        <f>OFFSET(ASISTENCIA!$E$1,MATCH($G36,ASISTENCIA!$E:$E,0)-1,MATCH(AS$1,ASISTENCIA!$3:$3,0)-5,1,1)</f>
        <v>#N/A</v>
      </c>
      <c r="AT36" s="131" t="str">
        <f>OFFSET(ASISTENCIA!$E$1,MATCH($G36,ASISTENCIA!$E:$E,0)-1,MATCH(AT$1,ASISTENCIA!$3:$3,0)-5,1,1)</f>
        <v>#N/A</v>
      </c>
      <c r="AU36" s="136" t="str">
        <f>IF(TODAY()&gt;=$AU$1-6,SUM(OFFSET(DEVO!$F$1,MATCH($G36,DEVO!$E:$E,0)-1,MATCH(AR$1,DEVO!$1:$1,0)-6,1,7)),"")</f>
        <v>#N/A</v>
      </c>
      <c r="AV36" s="131" t="str">
        <f>OFFSET(ASISTENCIA!$E$1,MATCH($G36,ASISTENCIA!$E:$E,0)-1,MATCH(AV$1,ASISTENCIA!$3:$3,0)-5,1,1)</f>
        <v>#N/A</v>
      </c>
      <c r="AW36" s="131" t="str">
        <f>OFFSET(ASISTENCIA!$E$1,MATCH($G36,ASISTENCIA!$E:$E,0)-1,MATCH(AW$1,ASISTENCIA!$3:$3,0)-5,1,1)</f>
        <v>#N/A</v>
      </c>
      <c r="AY36" s="173">
        <f t="shared" si="2"/>
        <v>0</v>
      </c>
      <c r="AZ36" s="174">
        <f t="shared" si="3"/>
        <v>0</v>
      </c>
      <c r="BA36" s="174">
        <f t="shared" si="4"/>
        <v>0</v>
      </c>
      <c r="BB36" s="174">
        <f t="shared" si="5"/>
        <v>0</v>
      </c>
      <c r="BC36" s="174">
        <f t="shared" si="6"/>
        <v>0</v>
      </c>
      <c r="BD36" s="174">
        <f t="shared" si="7"/>
        <v>0</v>
      </c>
      <c r="BE36" s="174">
        <f t="shared" si="8"/>
        <v>0</v>
      </c>
      <c r="BF36" s="174">
        <f t="shared" si="9"/>
        <v>0</v>
      </c>
      <c r="BG36" s="174">
        <f t="shared" si="10"/>
        <v>0</v>
      </c>
      <c r="BH36" s="152">
        <f t="shared" si="11"/>
        <v>0</v>
      </c>
      <c r="BI36" s="153" t="str">
        <f t="shared" si="12"/>
        <v>OBSERVADOS</v>
      </c>
      <c r="BJ36" s="175" t="str">
        <f t="shared" si="13"/>
        <v>#N/A</v>
      </c>
      <c r="BK36" s="176" t="str">
        <f t="shared" si="14"/>
        <v>#N/A</v>
      </c>
      <c r="BL36" s="176" t="str">
        <f t="shared" si="15"/>
        <v>#N/A</v>
      </c>
      <c r="BM36" s="176" t="str">
        <f t="shared" si="16"/>
        <v>#N/A</v>
      </c>
      <c r="BN36" s="176" t="str">
        <f t="shared" si="17"/>
        <v>#N/A</v>
      </c>
      <c r="BO36" s="176" t="str">
        <f t="shared" si="18"/>
        <v>#N/A</v>
      </c>
      <c r="BP36" s="176" t="str">
        <f t="shared" si="19"/>
        <v>#N/A</v>
      </c>
      <c r="BQ36" s="176" t="str">
        <f t="shared" si="20"/>
        <v>#N/A</v>
      </c>
      <c r="BR36" s="176" t="str">
        <f t="shared" si="21"/>
        <v>#N/A</v>
      </c>
      <c r="BS36" s="207" t="str">
        <f>OFFSET(ASISTENCIA!$E$1,MATCH($G36,ASISTENCIA!$E:$E,0)-1,MATCH(BS$1,ASISTENCIA!$3:$3,0)-5,1,1)</f>
        <v>#N/A</v>
      </c>
      <c r="BT36" s="207" t="str">
        <f>OFFSET(ASISTENCIA!$E$1,MATCH($G36,ASISTENCIA!$E:$E,0)-1,MATCH(BT$1,ASISTENCIA!$3:$3,0)-5,1,1)</f>
        <v>#N/A</v>
      </c>
      <c r="BU36" s="215" t="str">
        <f>OFFSET(ASISTENCIA!$E$1,MATCH($G36,ASISTENCIA!$E:$E,0)-1,MATCH(BU$1,ASISTENCIA!$3:$3,0)-5,1,1)</f>
        <v>#N/A</v>
      </c>
      <c r="BV36" s="215" t="str">
        <f>OFFSET(ASISTENCIA!$E$1,MATCH($G36,ASISTENCIA!$E:$E,0)-1,MATCH(BV$1,ASISTENCIA!$3:$3,0)-5,1,1)</f>
        <v>#N/A</v>
      </c>
      <c r="BW36" s="55"/>
      <c r="BX36" s="55"/>
      <c r="BY36" s="55"/>
    </row>
    <row r="37">
      <c r="A37" s="123">
        <f t="shared" si="22"/>
        <v>34</v>
      </c>
      <c r="B37" s="127"/>
      <c r="C37" s="128"/>
      <c r="D37" s="128"/>
      <c r="E37" s="127"/>
      <c r="F37" s="127"/>
      <c r="G37" s="128"/>
      <c r="H37" s="128"/>
      <c r="I37" s="129"/>
      <c r="J37" s="129" t="str">
        <f>DEVO!F38</f>
        <v/>
      </c>
      <c r="K37" s="129" t="str">
        <f t="shared" si="1"/>
        <v/>
      </c>
      <c r="L37" s="131" t="str">
        <f>IF(TODAY()&gt;=$O$1-6,SUM(OFFSET(ASISTENCIA!$E$1,MATCH($G37,ASISTENCIA!$E:$E,0)-1,MATCH(L$1,ASISTENCIA!$3:$3,0)-5,1,1)),"")</f>
        <v>#N/A</v>
      </c>
      <c r="M37" s="131" t="str">
        <f>OFFSET(ASISTENCIA!$E$1,MATCH($G37,ASISTENCIA!$E:$E,0)-1,MATCH(M$1,ASISTENCIA!$3:$3,0)-5,1,1)</f>
        <v>#N/A</v>
      </c>
      <c r="N37" s="131" t="str">
        <f>OFFSET(ASISTENCIA!$E$1,MATCH($G37,ASISTENCIA!$E:$E,0)-1,MATCH(N$1,ASISTENCIA!$3:$3,0)-5,1,1)</f>
        <v>#N/A</v>
      </c>
      <c r="O37" s="136" t="str">
        <f>IF(TODAY()&gt;=$O$1-6,SUM(OFFSET(DEVO!$F$1,MATCH($G37,DEVO!$E:$E,0)-1,MATCH(L$1,DEVO!$1:$1,0)-6,1,7)),"")</f>
        <v>#N/A</v>
      </c>
      <c r="P37" s="131" t="str">
        <f>IF(TODAY()&gt;=$S$1-6,SUM(OFFSET(ASISTENCIA!$E$1,MATCH($G37,ASISTENCIA!$E:$E,0)-1,MATCH(P$1,ASISTENCIA!$3:$3,0)-5,1,1)),"")</f>
        <v>#N/A</v>
      </c>
      <c r="Q37" s="131" t="str">
        <f>OFFSET(ASISTENCIA!$E$1,MATCH($G37,ASISTENCIA!$E:$E,0)-1,MATCH(Q$1,ASISTENCIA!$3:$3,0)-5,1,1)</f>
        <v>#N/A</v>
      </c>
      <c r="R37" s="131" t="str">
        <f>OFFSET(ASISTENCIA!$E$1,MATCH($G37,ASISTENCIA!$E:$E,0)-1,MATCH(R$1,ASISTENCIA!$3:$3,0)-5,1,1)</f>
        <v>#N/A</v>
      </c>
      <c r="S37" s="136" t="str">
        <f>IF(TODAY()&gt;=$S$1-6,SUM(OFFSET(DEVO!$F$1,MATCH($G37,DEVO!$E:$E,0)-1,MATCH(P$1,DEVO!$1:$1,0)-6,1,7)),"")</f>
        <v>#N/A</v>
      </c>
      <c r="T37" s="131" t="str">
        <f>IF(TODAY()&gt;=$W$1-6,SUM(OFFSET(ASISTENCIA!$E$1,MATCH($G37,ASISTENCIA!$E:$E,0)-1,MATCH(T$1,ASISTENCIA!$3:$3,0)-5,1,1)),"")</f>
        <v>#N/A</v>
      </c>
      <c r="U37" s="131" t="str">
        <f>OFFSET(ASISTENCIA!$E$1,MATCH($G37,ASISTENCIA!$E:$E,0)-1,MATCH(U$1,ASISTENCIA!$3:$3,0)-5,1,1)</f>
        <v>#N/A</v>
      </c>
      <c r="V37" s="131" t="str">
        <f>OFFSET(ASISTENCIA!$E$1,MATCH($G37,ASISTENCIA!$E:$E,0)-1,MATCH(V$1,ASISTENCIA!$3:$3,0)-5,1,1)</f>
        <v>#N/A</v>
      </c>
      <c r="W37" s="136" t="str">
        <f>IF(TODAY()&gt;=$W$1-6,SUM(OFFSET(DEVO!$F$1,MATCH($G37,DEVO!$E:$E,0)-1,MATCH(T$1,DEVO!$1:$1,0)-6,1,7)),"")</f>
        <v>#N/A</v>
      </c>
      <c r="X37" s="131" t="str">
        <f>IF(TODAY()&gt;=$AA$1-6,SUM(OFFSET(ASISTENCIA!$E$1,MATCH($G37,ASISTENCIA!$E:$E,0)-1,MATCH(X$1,ASISTENCIA!$3:$3,0)-5,1,1)),"")</f>
        <v>#N/A</v>
      </c>
      <c r="Y37" s="131" t="str">
        <f>OFFSET(ASISTENCIA!$E$1,MATCH($G37,ASISTENCIA!$E:$E,0)-1,MATCH(Y$1,ASISTENCIA!$3:$3,0)-5,1,1)</f>
        <v>#N/A</v>
      </c>
      <c r="Z37" s="131" t="str">
        <f>OFFSET(ASISTENCIA!$E$1,MATCH($G37,ASISTENCIA!$E:$E,0)-1,MATCH(Z$1,ASISTENCIA!$3:$3,0)-5,1,1)</f>
        <v>#N/A</v>
      </c>
      <c r="AA37" s="136" t="str">
        <f>IF(TODAY()&gt;=$AA$1-6,SUM(OFFSET(DEVO!$F$1,MATCH($G37,DEVO!$E:$E,0)-1,MATCH(X$1,DEVO!$1:$1,0)-6,1,7)),"")</f>
        <v>#N/A</v>
      </c>
      <c r="AB37" s="131" t="str">
        <f>IF(TODAY()&gt;=$AE$1-6,SUM(OFFSET(ASISTENCIA!$E$1,MATCH($G37,ASISTENCIA!$E:$E,0)-1,MATCH(AB$1,ASISTENCIA!$3:$3,0)-5,1,1)),"")</f>
        <v>#N/A</v>
      </c>
      <c r="AC37" s="131" t="str">
        <f>OFFSET(ASISTENCIA!$E$1,MATCH($G37,ASISTENCIA!$E:$E,0)-1,MATCH(AC$1,ASISTENCIA!$3:$3,0)-5,1,1)</f>
        <v>#N/A</v>
      </c>
      <c r="AD37" s="131" t="str">
        <f>OFFSET(ASISTENCIA!$E$1,MATCH($G37,ASISTENCIA!$E:$E,0)-1,MATCH(AD$1,ASISTENCIA!$3:$3,0)-5,1,1)</f>
        <v>#N/A</v>
      </c>
      <c r="AE37" s="136" t="str">
        <f>IF(TODAY()&gt;=$AE$1-6,SUM(OFFSET(DEVO!$F$1,MATCH($G37,DEVO!$E:$E,0)-1,MATCH(AB$1,DEVO!$1:$1,0)-6,1,7)),"")</f>
        <v>#N/A</v>
      </c>
      <c r="AF37" s="131" t="str">
        <f>IF(TODAY()&gt;=$AI$1-6,SUM(OFFSET(ASISTENCIA!$E$1,MATCH($G37,ASISTENCIA!$E:$E,0)-1,MATCH(AF$1,ASISTENCIA!$3:$3,0)-5,1,1)),"")</f>
        <v>#N/A</v>
      </c>
      <c r="AG37" s="131" t="str">
        <f>OFFSET(ASISTENCIA!$E$1,MATCH($G37,ASISTENCIA!$E:$E,0)-1,MATCH(AG$1,ASISTENCIA!$3:$3,0)-5,1,1)</f>
        <v>#N/A</v>
      </c>
      <c r="AH37" s="131" t="str">
        <f>OFFSET(ASISTENCIA!$E$1,MATCH($G37,ASISTENCIA!$E:$E,0)-1,MATCH(AH$1,ASISTENCIA!$3:$3,0)-5,1,1)</f>
        <v>#N/A</v>
      </c>
      <c r="AI37" s="136" t="str">
        <f>IF(TODAY()&gt;=$AI$1-6,SUM(OFFSET(DEVO!$F$1,MATCH($G37,DEVO!$E:$E,0)-1,MATCH(AF$1,DEVO!$1:$1,0)-6,1,7)),"")</f>
        <v>#N/A</v>
      </c>
      <c r="AJ37" s="131" t="str">
        <f>IF(TODAY()&gt;=$AM$1-6,SUM(OFFSET(ASISTENCIA!$E$1,MATCH($G37,ASISTENCIA!$E:$E,0)-1,MATCH(AJ$1,ASISTENCIA!$3:$3,0)-5,1,1)),"")</f>
        <v>#N/A</v>
      </c>
      <c r="AK37" s="131" t="str">
        <f>OFFSET(ASISTENCIA!$E$1,MATCH($G37,ASISTENCIA!$E:$E,0)-1,MATCH(AK$1,ASISTENCIA!$3:$3,0)-5,1,1)</f>
        <v>#N/A</v>
      </c>
      <c r="AL37" s="131" t="str">
        <f>OFFSET(ASISTENCIA!$E$1,MATCH($G37,ASISTENCIA!$E:$E,0)-1,MATCH(AL$1,ASISTENCIA!$3:$3,0)-5,1,1)</f>
        <v>#N/A</v>
      </c>
      <c r="AM37" s="136" t="str">
        <f>IF(TODAY()&gt;=$AM$1-6,SUM(OFFSET(DEVO!$F$1,MATCH($G37,DEVO!$E:$E,0)-1,MATCH(AJ$1,DEVO!$1:$1,0)-6,1,7)),"")</f>
        <v>#N/A</v>
      </c>
      <c r="AN37" s="131" t="str">
        <f>IF(TODAY()&gt;=$AQ$1-6,SUM(OFFSET(ASISTENCIA!$E$1,MATCH($G37,ASISTENCIA!$E:$E,0)-1,MATCH(AN$1,ASISTENCIA!$3:$3,0)-5,1,1)),"")</f>
        <v>#N/A</v>
      </c>
      <c r="AO37" s="131" t="str">
        <f>OFFSET(ASISTENCIA!$E$1,MATCH($G37,ASISTENCIA!$E:$E,0)-1,MATCH(AO$1,ASISTENCIA!$3:$3,0)-5,1,1)</f>
        <v>#N/A</v>
      </c>
      <c r="AP37" s="131" t="str">
        <f>OFFSET(ASISTENCIA!$E$1,MATCH($G37,ASISTENCIA!$E:$E,0)-1,MATCH(AP$1,ASISTENCIA!$3:$3,0)-5,1,1)</f>
        <v>#N/A</v>
      </c>
      <c r="AQ37" s="136" t="str">
        <f>IF(TODAY()&gt;=$AQ$1-6,SUM(OFFSET(DEVO!$F$1,MATCH($G37,DEVO!$E:$E,0)-1,MATCH(AN$1,DEVO!$1:$1,0)-6,1,7)),"")</f>
        <v>#N/A</v>
      </c>
      <c r="AR37" s="131" t="str">
        <f>IF(TODAY()&gt;=$AU$1-6,SUM(OFFSET(ASISTENCIA!$E$1,MATCH($G37,ASISTENCIA!$E:$E,0)-1,MATCH(AR$1,ASISTENCIA!$3:$3,0)-5,1,1)),"")</f>
        <v>#N/A</v>
      </c>
      <c r="AS37" s="131" t="str">
        <f>OFFSET(ASISTENCIA!$E$1,MATCH($G37,ASISTENCIA!$E:$E,0)-1,MATCH(AS$1,ASISTENCIA!$3:$3,0)-5,1,1)</f>
        <v>#N/A</v>
      </c>
      <c r="AT37" s="131" t="str">
        <f>OFFSET(ASISTENCIA!$E$1,MATCH($G37,ASISTENCIA!$E:$E,0)-1,MATCH(AT$1,ASISTENCIA!$3:$3,0)-5,1,1)</f>
        <v>#N/A</v>
      </c>
      <c r="AU37" s="136" t="str">
        <f>IF(TODAY()&gt;=$AU$1-6,SUM(OFFSET(DEVO!$F$1,MATCH($G37,DEVO!$E:$E,0)-1,MATCH(AR$1,DEVO!$1:$1,0)-6,1,7)),"")</f>
        <v>#N/A</v>
      </c>
      <c r="AV37" s="131" t="str">
        <f>OFFSET(ASISTENCIA!$E$1,MATCH($G37,ASISTENCIA!$E:$E,0)-1,MATCH(AV$1,ASISTENCIA!$3:$3,0)-5,1,1)</f>
        <v>#N/A</v>
      </c>
      <c r="AW37" s="131" t="str">
        <f>OFFSET(ASISTENCIA!$E$1,MATCH($G37,ASISTENCIA!$E:$E,0)-1,MATCH(AW$1,ASISTENCIA!$3:$3,0)-5,1,1)</f>
        <v>#N/A</v>
      </c>
      <c r="AY37" s="173">
        <f t="shared" si="2"/>
        <v>0</v>
      </c>
      <c r="AZ37" s="174">
        <f t="shared" si="3"/>
        <v>0</v>
      </c>
      <c r="BA37" s="174">
        <f t="shared" si="4"/>
        <v>0</v>
      </c>
      <c r="BB37" s="174">
        <f t="shared" si="5"/>
        <v>0</v>
      </c>
      <c r="BC37" s="174">
        <f t="shared" si="6"/>
        <v>0</v>
      </c>
      <c r="BD37" s="174">
        <f t="shared" si="7"/>
        <v>0</v>
      </c>
      <c r="BE37" s="174">
        <f t="shared" si="8"/>
        <v>0</v>
      </c>
      <c r="BF37" s="174">
        <f t="shared" si="9"/>
        <v>0</v>
      </c>
      <c r="BG37" s="174">
        <f t="shared" si="10"/>
        <v>0</v>
      </c>
      <c r="BH37" s="152">
        <f t="shared" si="11"/>
        <v>0</v>
      </c>
      <c r="BI37" s="153" t="str">
        <f t="shared" si="12"/>
        <v>OBSERVADOS</v>
      </c>
      <c r="BJ37" s="175" t="str">
        <f t="shared" si="13"/>
        <v>#N/A</v>
      </c>
      <c r="BK37" s="176" t="str">
        <f t="shared" si="14"/>
        <v>#N/A</v>
      </c>
      <c r="BL37" s="176" t="str">
        <f t="shared" si="15"/>
        <v>#N/A</v>
      </c>
      <c r="BM37" s="176" t="str">
        <f t="shared" si="16"/>
        <v>#N/A</v>
      </c>
      <c r="BN37" s="176" t="str">
        <f t="shared" si="17"/>
        <v>#N/A</v>
      </c>
      <c r="BO37" s="176" t="str">
        <f t="shared" si="18"/>
        <v>#N/A</v>
      </c>
      <c r="BP37" s="176" t="str">
        <f t="shared" si="19"/>
        <v>#N/A</v>
      </c>
      <c r="BQ37" s="176" t="str">
        <f t="shared" si="20"/>
        <v>#N/A</v>
      </c>
      <c r="BR37" s="176" t="str">
        <f t="shared" si="21"/>
        <v>#N/A</v>
      </c>
      <c r="BS37" s="207" t="str">
        <f>OFFSET(ASISTENCIA!$E$1,MATCH($G37,ASISTENCIA!$E:$E,0)-1,MATCH(BS$1,ASISTENCIA!$3:$3,0)-5,1,1)</f>
        <v>#N/A</v>
      </c>
      <c r="BT37" s="207" t="str">
        <f>OFFSET(ASISTENCIA!$E$1,MATCH($G37,ASISTENCIA!$E:$E,0)-1,MATCH(BT$1,ASISTENCIA!$3:$3,0)-5,1,1)</f>
        <v>#N/A</v>
      </c>
      <c r="BU37" s="215" t="str">
        <f>OFFSET(ASISTENCIA!$E$1,MATCH($G37,ASISTENCIA!$E:$E,0)-1,MATCH(BU$1,ASISTENCIA!$3:$3,0)-5,1,1)</f>
        <v>#N/A</v>
      </c>
      <c r="BV37" s="215" t="str">
        <f>OFFSET(ASISTENCIA!$E$1,MATCH($G37,ASISTENCIA!$E:$E,0)-1,MATCH(BV$1,ASISTENCIA!$3:$3,0)-5,1,1)</f>
        <v>#N/A</v>
      </c>
      <c r="BW37" s="55"/>
      <c r="BX37" s="55"/>
      <c r="BY37" s="55"/>
    </row>
    <row r="38">
      <c r="A38" s="123">
        <f t="shared" si="22"/>
        <v>35</v>
      </c>
      <c r="B38" s="127"/>
      <c r="C38" s="128"/>
      <c r="D38" s="128"/>
      <c r="E38" s="127"/>
      <c r="F38" s="127"/>
      <c r="G38" s="128"/>
      <c r="H38" s="128"/>
      <c r="I38" s="129"/>
      <c r="J38" s="129" t="str">
        <f>DEVO!F39</f>
        <v/>
      </c>
      <c r="K38" s="129" t="str">
        <f t="shared" si="1"/>
        <v/>
      </c>
      <c r="L38" s="131" t="str">
        <f>IF(TODAY()&gt;=$O$1-6,SUM(OFFSET(ASISTENCIA!$E$1,MATCH($G38,ASISTENCIA!$E:$E,0)-1,MATCH(L$1,ASISTENCIA!$3:$3,0)-5,1,1)),"")</f>
        <v>#N/A</v>
      </c>
      <c r="M38" s="131" t="str">
        <f>OFFSET(ASISTENCIA!$E$1,MATCH($G38,ASISTENCIA!$E:$E,0)-1,MATCH(M$1,ASISTENCIA!$3:$3,0)-5,1,1)</f>
        <v>#N/A</v>
      </c>
      <c r="N38" s="131" t="str">
        <f>OFFSET(ASISTENCIA!$E$1,MATCH($G38,ASISTENCIA!$E:$E,0)-1,MATCH(N$1,ASISTENCIA!$3:$3,0)-5,1,1)</f>
        <v>#N/A</v>
      </c>
      <c r="O38" s="136" t="str">
        <f>IF(TODAY()&gt;=$O$1-6,SUM(OFFSET(DEVO!$F$1,MATCH($G38,DEVO!$E:$E,0)-1,MATCH(L$1,DEVO!$1:$1,0)-6,1,7)),"")</f>
        <v>#N/A</v>
      </c>
      <c r="P38" s="131" t="str">
        <f>IF(TODAY()&gt;=$S$1-6,SUM(OFFSET(ASISTENCIA!$E$1,MATCH($G38,ASISTENCIA!$E:$E,0)-1,MATCH(P$1,ASISTENCIA!$3:$3,0)-5,1,1)),"")</f>
        <v>#N/A</v>
      </c>
      <c r="Q38" s="131" t="str">
        <f>OFFSET(ASISTENCIA!$E$1,MATCH($G38,ASISTENCIA!$E:$E,0)-1,MATCH(Q$1,ASISTENCIA!$3:$3,0)-5,1,1)</f>
        <v>#N/A</v>
      </c>
      <c r="R38" s="131" t="str">
        <f>OFFSET(ASISTENCIA!$E$1,MATCH($G38,ASISTENCIA!$E:$E,0)-1,MATCH(R$1,ASISTENCIA!$3:$3,0)-5,1,1)</f>
        <v>#N/A</v>
      </c>
      <c r="S38" s="136" t="str">
        <f>IF(TODAY()&gt;=$S$1-6,SUM(OFFSET(DEVO!$F$1,MATCH($G38,DEVO!$E:$E,0)-1,MATCH(P$1,DEVO!$1:$1,0)-6,1,7)),"")</f>
        <v>#N/A</v>
      </c>
      <c r="T38" s="131" t="str">
        <f>IF(TODAY()&gt;=$W$1-6,SUM(OFFSET(ASISTENCIA!$E$1,MATCH($G38,ASISTENCIA!$E:$E,0)-1,MATCH(T$1,ASISTENCIA!$3:$3,0)-5,1,1)),"")</f>
        <v>#N/A</v>
      </c>
      <c r="U38" s="131" t="str">
        <f>OFFSET(ASISTENCIA!$E$1,MATCH($G38,ASISTENCIA!$E:$E,0)-1,MATCH(U$1,ASISTENCIA!$3:$3,0)-5,1,1)</f>
        <v>#N/A</v>
      </c>
      <c r="V38" s="131" t="str">
        <f>OFFSET(ASISTENCIA!$E$1,MATCH($G38,ASISTENCIA!$E:$E,0)-1,MATCH(V$1,ASISTENCIA!$3:$3,0)-5,1,1)</f>
        <v>#N/A</v>
      </c>
      <c r="W38" s="136" t="str">
        <f>IF(TODAY()&gt;=$W$1-6,SUM(OFFSET(DEVO!$F$1,MATCH($G38,DEVO!$E:$E,0)-1,MATCH(T$1,DEVO!$1:$1,0)-6,1,7)),"")</f>
        <v>#N/A</v>
      </c>
      <c r="X38" s="131" t="str">
        <f>IF(TODAY()&gt;=$AA$1-6,SUM(OFFSET(ASISTENCIA!$E$1,MATCH($G38,ASISTENCIA!$E:$E,0)-1,MATCH(X$1,ASISTENCIA!$3:$3,0)-5,1,1)),"")</f>
        <v>#N/A</v>
      </c>
      <c r="Y38" s="131" t="str">
        <f>OFFSET(ASISTENCIA!$E$1,MATCH($G38,ASISTENCIA!$E:$E,0)-1,MATCH(Y$1,ASISTENCIA!$3:$3,0)-5,1,1)</f>
        <v>#N/A</v>
      </c>
      <c r="Z38" s="131" t="str">
        <f>OFFSET(ASISTENCIA!$E$1,MATCH($G38,ASISTENCIA!$E:$E,0)-1,MATCH(Z$1,ASISTENCIA!$3:$3,0)-5,1,1)</f>
        <v>#N/A</v>
      </c>
      <c r="AA38" s="136" t="str">
        <f>IF(TODAY()&gt;=$AA$1-6,SUM(OFFSET(DEVO!$F$1,MATCH($G38,DEVO!$E:$E,0)-1,MATCH(X$1,DEVO!$1:$1,0)-6,1,7)),"")</f>
        <v>#N/A</v>
      </c>
      <c r="AB38" s="131" t="str">
        <f>IF(TODAY()&gt;=$AE$1-6,SUM(OFFSET(ASISTENCIA!$E$1,MATCH($G38,ASISTENCIA!$E:$E,0)-1,MATCH(AB$1,ASISTENCIA!$3:$3,0)-5,1,1)),"")</f>
        <v>#N/A</v>
      </c>
      <c r="AC38" s="131" t="str">
        <f>OFFSET(ASISTENCIA!$E$1,MATCH($G38,ASISTENCIA!$E:$E,0)-1,MATCH(AC$1,ASISTENCIA!$3:$3,0)-5,1,1)</f>
        <v>#N/A</v>
      </c>
      <c r="AD38" s="131" t="str">
        <f>OFFSET(ASISTENCIA!$E$1,MATCH($G38,ASISTENCIA!$E:$E,0)-1,MATCH(AD$1,ASISTENCIA!$3:$3,0)-5,1,1)</f>
        <v>#N/A</v>
      </c>
      <c r="AE38" s="136" t="str">
        <f>IF(TODAY()&gt;=$AE$1-6,SUM(OFFSET(DEVO!$F$1,MATCH($G38,DEVO!$E:$E,0)-1,MATCH(AB$1,DEVO!$1:$1,0)-6,1,7)),"")</f>
        <v>#N/A</v>
      </c>
      <c r="AF38" s="131" t="str">
        <f>IF(TODAY()&gt;=$AI$1-6,SUM(OFFSET(ASISTENCIA!$E$1,MATCH($G38,ASISTENCIA!$E:$E,0)-1,MATCH(AF$1,ASISTENCIA!$3:$3,0)-5,1,1)),"")</f>
        <v>#N/A</v>
      </c>
      <c r="AG38" s="131" t="str">
        <f>OFFSET(ASISTENCIA!$E$1,MATCH($G38,ASISTENCIA!$E:$E,0)-1,MATCH(AG$1,ASISTENCIA!$3:$3,0)-5,1,1)</f>
        <v>#N/A</v>
      </c>
      <c r="AH38" s="131" t="str">
        <f>OFFSET(ASISTENCIA!$E$1,MATCH($G38,ASISTENCIA!$E:$E,0)-1,MATCH(AH$1,ASISTENCIA!$3:$3,0)-5,1,1)</f>
        <v>#N/A</v>
      </c>
      <c r="AI38" s="136" t="str">
        <f>IF(TODAY()&gt;=$AI$1-6,SUM(OFFSET(DEVO!$F$1,MATCH($G38,DEVO!$E:$E,0)-1,MATCH(AF$1,DEVO!$1:$1,0)-6,1,7)),"")</f>
        <v>#N/A</v>
      </c>
      <c r="AJ38" s="131" t="str">
        <f>IF(TODAY()&gt;=$AM$1-6,SUM(OFFSET(ASISTENCIA!$E$1,MATCH($G38,ASISTENCIA!$E:$E,0)-1,MATCH(AJ$1,ASISTENCIA!$3:$3,0)-5,1,1)),"")</f>
        <v>#N/A</v>
      </c>
      <c r="AK38" s="131" t="str">
        <f>OFFSET(ASISTENCIA!$E$1,MATCH($G38,ASISTENCIA!$E:$E,0)-1,MATCH(AK$1,ASISTENCIA!$3:$3,0)-5,1,1)</f>
        <v>#N/A</v>
      </c>
      <c r="AL38" s="131" t="str">
        <f>OFFSET(ASISTENCIA!$E$1,MATCH($G38,ASISTENCIA!$E:$E,0)-1,MATCH(AL$1,ASISTENCIA!$3:$3,0)-5,1,1)</f>
        <v>#N/A</v>
      </c>
      <c r="AM38" s="136" t="str">
        <f>IF(TODAY()&gt;=$AM$1-6,SUM(OFFSET(DEVO!$F$1,MATCH($G38,DEVO!$E:$E,0)-1,MATCH(AJ$1,DEVO!$1:$1,0)-6,1,7)),"")</f>
        <v>#N/A</v>
      </c>
      <c r="AN38" s="131" t="str">
        <f>IF(TODAY()&gt;=$AQ$1-6,SUM(OFFSET(ASISTENCIA!$E$1,MATCH($G38,ASISTENCIA!$E:$E,0)-1,MATCH(AN$1,ASISTENCIA!$3:$3,0)-5,1,1)),"")</f>
        <v>#N/A</v>
      </c>
      <c r="AO38" s="131" t="str">
        <f>OFFSET(ASISTENCIA!$E$1,MATCH($G38,ASISTENCIA!$E:$E,0)-1,MATCH(AO$1,ASISTENCIA!$3:$3,0)-5,1,1)</f>
        <v>#N/A</v>
      </c>
      <c r="AP38" s="131" t="str">
        <f>OFFSET(ASISTENCIA!$E$1,MATCH($G38,ASISTENCIA!$E:$E,0)-1,MATCH(AP$1,ASISTENCIA!$3:$3,0)-5,1,1)</f>
        <v>#N/A</v>
      </c>
      <c r="AQ38" s="136" t="str">
        <f>IF(TODAY()&gt;=$AQ$1-6,SUM(OFFSET(DEVO!$F$1,MATCH($G38,DEVO!$E:$E,0)-1,MATCH(AN$1,DEVO!$1:$1,0)-6,1,7)),"")</f>
        <v>#N/A</v>
      </c>
      <c r="AR38" s="131" t="str">
        <f>IF(TODAY()&gt;=$AU$1-6,SUM(OFFSET(ASISTENCIA!$E$1,MATCH($G38,ASISTENCIA!$E:$E,0)-1,MATCH(AR$1,ASISTENCIA!$3:$3,0)-5,1,1)),"")</f>
        <v>#N/A</v>
      </c>
      <c r="AS38" s="131" t="str">
        <f>OFFSET(ASISTENCIA!$E$1,MATCH($G38,ASISTENCIA!$E:$E,0)-1,MATCH(AS$1,ASISTENCIA!$3:$3,0)-5,1,1)</f>
        <v>#N/A</v>
      </c>
      <c r="AT38" s="131" t="str">
        <f>OFFSET(ASISTENCIA!$E$1,MATCH($G38,ASISTENCIA!$E:$E,0)-1,MATCH(AT$1,ASISTENCIA!$3:$3,0)-5,1,1)</f>
        <v>#N/A</v>
      </c>
      <c r="AU38" s="136" t="str">
        <f>IF(TODAY()&gt;=$AU$1-6,SUM(OFFSET(DEVO!$F$1,MATCH($G38,DEVO!$E:$E,0)-1,MATCH(AR$1,DEVO!$1:$1,0)-6,1,7)),"")</f>
        <v>#N/A</v>
      </c>
      <c r="AV38" s="131" t="str">
        <f>OFFSET(ASISTENCIA!$E$1,MATCH($G38,ASISTENCIA!$E:$E,0)-1,MATCH(AV$1,ASISTENCIA!$3:$3,0)-5,1,1)</f>
        <v>#N/A</v>
      </c>
      <c r="AW38" s="131" t="str">
        <f>OFFSET(ASISTENCIA!$E$1,MATCH($G38,ASISTENCIA!$E:$E,0)-1,MATCH(AW$1,ASISTENCIA!$3:$3,0)-5,1,1)</f>
        <v>#N/A</v>
      </c>
      <c r="AY38" s="173">
        <f t="shared" si="2"/>
        <v>0</v>
      </c>
      <c r="AZ38" s="174">
        <f t="shared" si="3"/>
        <v>0</v>
      </c>
      <c r="BA38" s="174">
        <f t="shared" si="4"/>
        <v>0</v>
      </c>
      <c r="BB38" s="174">
        <f t="shared" si="5"/>
        <v>0</v>
      </c>
      <c r="BC38" s="174">
        <f t="shared" si="6"/>
        <v>0</v>
      </c>
      <c r="BD38" s="174">
        <f t="shared" si="7"/>
        <v>0</v>
      </c>
      <c r="BE38" s="174">
        <f t="shared" si="8"/>
        <v>0</v>
      </c>
      <c r="BF38" s="174">
        <f t="shared" si="9"/>
        <v>0</v>
      </c>
      <c r="BG38" s="174">
        <f t="shared" si="10"/>
        <v>0</v>
      </c>
      <c r="BH38" s="152">
        <f t="shared" si="11"/>
        <v>0</v>
      </c>
      <c r="BI38" s="153" t="str">
        <f t="shared" si="12"/>
        <v>OBSERVADOS</v>
      </c>
      <c r="BJ38" s="175" t="str">
        <f t="shared" si="13"/>
        <v>#N/A</v>
      </c>
      <c r="BK38" s="176" t="str">
        <f t="shared" si="14"/>
        <v>#N/A</v>
      </c>
      <c r="BL38" s="176" t="str">
        <f t="shared" si="15"/>
        <v>#N/A</v>
      </c>
      <c r="BM38" s="176" t="str">
        <f t="shared" si="16"/>
        <v>#N/A</v>
      </c>
      <c r="BN38" s="176" t="str">
        <f t="shared" si="17"/>
        <v>#N/A</v>
      </c>
      <c r="BO38" s="176" t="str">
        <f t="shared" si="18"/>
        <v>#N/A</v>
      </c>
      <c r="BP38" s="176" t="str">
        <f t="shared" si="19"/>
        <v>#N/A</v>
      </c>
      <c r="BQ38" s="176" t="str">
        <f t="shared" si="20"/>
        <v>#N/A</v>
      </c>
      <c r="BR38" s="176" t="str">
        <f t="shared" si="21"/>
        <v>#N/A</v>
      </c>
      <c r="BS38" s="207" t="str">
        <f>OFFSET(ASISTENCIA!$E$1,MATCH($G38,ASISTENCIA!$E:$E,0)-1,MATCH(BS$1,ASISTENCIA!$3:$3,0)-5,1,1)</f>
        <v>#N/A</v>
      </c>
      <c r="BT38" s="207" t="str">
        <f>OFFSET(ASISTENCIA!$E$1,MATCH($G38,ASISTENCIA!$E:$E,0)-1,MATCH(BT$1,ASISTENCIA!$3:$3,0)-5,1,1)</f>
        <v>#N/A</v>
      </c>
      <c r="BU38" s="215" t="str">
        <f>OFFSET(ASISTENCIA!$E$1,MATCH($G38,ASISTENCIA!$E:$E,0)-1,MATCH(BU$1,ASISTENCIA!$3:$3,0)-5,1,1)</f>
        <v>#N/A</v>
      </c>
      <c r="BV38" s="215" t="str">
        <f>OFFSET(ASISTENCIA!$E$1,MATCH($G38,ASISTENCIA!$E:$E,0)-1,MATCH(BV$1,ASISTENCIA!$3:$3,0)-5,1,1)</f>
        <v>#N/A</v>
      </c>
      <c r="BW38" s="55"/>
      <c r="BX38" s="55"/>
      <c r="BY38" s="55"/>
    </row>
    <row r="39">
      <c r="A39" s="123">
        <f t="shared" si="22"/>
        <v>36</v>
      </c>
      <c r="B39" s="127"/>
      <c r="C39" s="128"/>
      <c r="D39" s="128"/>
      <c r="E39" s="127"/>
      <c r="F39" s="127"/>
      <c r="G39" s="128"/>
      <c r="H39" s="128"/>
      <c r="I39" s="129"/>
      <c r="J39" s="129" t="str">
        <f>DEVO!F40</f>
        <v/>
      </c>
      <c r="K39" s="129" t="str">
        <f t="shared" si="1"/>
        <v/>
      </c>
      <c r="L39" s="131" t="str">
        <f>IF(TODAY()&gt;=$O$1-6,SUM(OFFSET(ASISTENCIA!$E$1,MATCH($G39,ASISTENCIA!$E:$E,0)-1,MATCH(L$1,ASISTENCIA!$3:$3,0)-5,1,1)),"")</f>
        <v>#N/A</v>
      </c>
      <c r="M39" s="131" t="str">
        <f>OFFSET(ASISTENCIA!$E$1,MATCH($G39,ASISTENCIA!$E:$E,0)-1,MATCH(M$1,ASISTENCIA!$3:$3,0)-5,1,1)</f>
        <v>#N/A</v>
      </c>
      <c r="N39" s="131" t="str">
        <f>OFFSET(ASISTENCIA!$E$1,MATCH($G39,ASISTENCIA!$E:$E,0)-1,MATCH(N$1,ASISTENCIA!$3:$3,0)-5,1,1)</f>
        <v>#N/A</v>
      </c>
      <c r="O39" s="136" t="str">
        <f>IF(TODAY()&gt;=$O$1-6,SUM(OFFSET(DEVO!$F$1,MATCH($G39,DEVO!$E:$E,0)-1,MATCH(L$1,DEVO!$1:$1,0)-6,1,7)),"")</f>
        <v>#N/A</v>
      </c>
      <c r="P39" s="131" t="str">
        <f>IF(TODAY()&gt;=$S$1-6,SUM(OFFSET(ASISTENCIA!$E$1,MATCH($G39,ASISTENCIA!$E:$E,0)-1,MATCH(P$1,ASISTENCIA!$3:$3,0)-5,1,1)),"")</f>
        <v>#N/A</v>
      </c>
      <c r="Q39" s="131" t="str">
        <f>OFFSET(ASISTENCIA!$E$1,MATCH($G39,ASISTENCIA!$E:$E,0)-1,MATCH(Q$1,ASISTENCIA!$3:$3,0)-5,1,1)</f>
        <v>#N/A</v>
      </c>
      <c r="R39" s="131" t="str">
        <f>OFFSET(ASISTENCIA!$E$1,MATCH($G39,ASISTENCIA!$E:$E,0)-1,MATCH(R$1,ASISTENCIA!$3:$3,0)-5,1,1)</f>
        <v>#N/A</v>
      </c>
      <c r="S39" s="136" t="str">
        <f>IF(TODAY()&gt;=$S$1-6,SUM(OFFSET(DEVO!$F$1,MATCH($G39,DEVO!$E:$E,0)-1,MATCH(P$1,DEVO!$1:$1,0)-6,1,7)),"")</f>
        <v>#N/A</v>
      </c>
      <c r="T39" s="131" t="str">
        <f>IF(TODAY()&gt;=$W$1-6,SUM(OFFSET(ASISTENCIA!$E$1,MATCH($G39,ASISTENCIA!$E:$E,0)-1,MATCH(T$1,ASISTENCIA!$3:$3,0)-5,1,1)),"")</f>
        <v>#N/A</v>
      </c>
      <c r="U39" s="131" t="str">
        <f>OFFSET(ASISTENCIA!$E$1,MATCH($G39,ASISTENCIA!$E:$E,0)-1,MATCH(U$1,ASISTENCIA!$3:$3,0)-5,1,1)</f>
        <v>#N/A</v>
      </c>
      <c r="V39" s="131" t="str">
        <f>OFFSET(ASISTENCIA!$E$1,MATCH($G39,ASISTENCIA!$E:$E,0)-1,MATCH(V$1,ASISTENCIA!$3:$3,0)-5,1,1)</f>
        <v>#N/A</v>
      </c>
      <c r="W39" s="136" t="str">
        <f>IF(TODAY()&gt;=$W$1-6,SUM(OFFSET(DEVO!$F$1,MATCH($G39,DEVO!$E:$E,0)-1,MATCH(T$1,DEVO!$1:$1,0)-6,1,7)),"")</f>
        <v>#N/A</v>
      </c>
      <c r="X39" s="131" t="str">
        <f>IF(TODAY()&gt;=$AA$1-6,SUM(OFFSET(ASISTENCIA!$E$1,MATCH($G39,ASISTENCIA!$E:$E,0)-1,MATCH(X$1,ASISTENCIA!$3:$3,0)-5,1,1)),"")</f>
        <v>#N/A</v>
      </c>
      <c r="Y39" s="131" t="str">
        <f>OFFSET(ASISTENCIA!$E$1,MATCH($G39,ASISTENCIA!$E:$E,0)-1,MATCH(Y$1,ASISTENCIA!$3:$3,0)-5,1,1)</f>
        <v>#N/A</v>
      </c>
      <c r="Z39" s="131" t="str">
        <f>OFFSET(ASISTENCIA!$E$1,MATCH($G39,ASISTENCIA!$E:$E,0)-1,MATCH(Z$1,ASISTENCIA!$3:$3,0)-5,1,1)</f>
        <v>#N/A</v>
      </c>
      <c r="AA39" s="136" t="str">
        <f>IF(TODAY()&gt;=$AA$1-6,SUM(OFFSET(DEVO!$F$1,MATCH($G39,DEVO!$E:$E,0)-1,MATCH(X$1,DEVO!$1:$1,0)-6,1,7)),"")</f>
        <v>#N/A</v>
      </c>
      <c r="AB39" s="131" t="str">
        <f>IF(TODAY()&gt;=$AE$1-6,SUM(OFFSET(ASISTENCIA!$E$1,MATCH($G39,ASISTENCIA!$E:$E,0)-1,MATCH(AB$1,ASISTENCIA!$3:$3,0)-5,1,1)),"")</f>
        <v>#N/A</v>
      </c>
      <c r="AC39" s="131" t="str">
        <f>OFFSET(ASISTENCIA!$E$1,MATCH($G39,ASISTENCIA!$E:$E,0)-1,MATCH(AC$1,ASISTENCIA!$3:$3,0)-5,1,1)</f>
        <v>#N/A</v>
      </c>
      <c r="AD39" s="131" t="str">
        <f>OFFSET(ASISTENCIA!$E$1,MATCH($G39,ASISTENCIA!$E:$E,0)-1,MATCH(AD$1,ASISTENCIA!$3:$3,0)-5,1,1)</f>
        <v>#N/A</v>
      </c>
      <c r="AE39" s="136" t="str">
        <f>IF(TODAY()&gt;=$AE$1-6,SUM(OFFSET(DEVO!$F$1,MATCH($G39,DEVO!$E:$E,0)-1,MATCH(AB$1,DEVO!$1:$1,0)-6,1,7)),"")</f>
        <v>#N/A</v>
      </c>
      <c r="AF39" s="131" t="str">
        <f>IF(TODAY()&gt;=$AI$1-6,SUM(OFFSET(ASISTENCIA!$E$1,MATCH($G39,ASISTENCIA!$E:$E,0)-1,MATCH(AF$1,ASISTENCIA!$3:$3,0)-5,1,1)),"")</f>
        <v>#N/A</v>
      </c>
      <c r="AG39" s="131" t="str">
        <f>OFFSET(ASISTENCIA!$E$1,MATCH($G39,ASISTENCIA!$E:$E,0)-1,MATCH(AG$1,ASISTENCIA!$3:$3,0)-5,1,1)</f>
        <v>#N/A</v>
      </c>
      <c r="AH39" s="131" t="str">
        <f>OFFSET(ASISTENCIA!$E$1,MATCH($G39,ASISTENCIA!$E:$E,0)-1,MATCH(AH$1,ASISTENCIA!$3:$3,0)-5,1,1)</f>
        <v>#N/A</v>
      </c>
      <c r="AI39" s="136" t="str">
        <f>IF(TODAY()&gt;=$AI$1-6,SUM(OFFSET(DEVO!$F$1,MATCH($G39,DEVO!$E:$E,0)-1,MATCH(AF$1,DEVO!$1:$1,0)-6,1,7)),"")</f>
        <v>#N/A</v>
      </c>
      <c r="AJ39" s="131" t="str">
        <f>IF(TODAY()&gt;=$AM$1-6,SUM(OFFSET(ASISTENCIA!$E$1,MATCH($G39,ASISTENCIA!$E:$E,0)-1,MATCH(AJ$1,ASISTENCIA!$3:$3,0)-5,1,1)),"")</f>
        <v>#N/A</v>
      </c>
      <c r="AK39" s="131" t="str">
        <f>OFFSET(ASISTENCIA!$E$1,MATCH($G39,ASISTENCIA!$E:$E,0)-1,MATCH(AK$1,ASISTENCIA!$3:$3,0)-5,1,1)</f>
        <v>#N/A</v>
      </c>
      <c r="AL39" s="131" t="str">
        <f>OFFSET(ASISTENCIA!$E$1,MATCH($G39,ASISTENCIA!$E:$E,0)-1,MATCH(AL$1,ASISTENCIA!$3:$3,0)-5,1,1)</f>
        <v>#N/A</v>
      </c>
      <c r="AM39" s="136" t="str">
        <f>IF(TODAY()&gt;=$AM$1-6,SUM(OFFSET(DEVO!$F$1,MATCH($G39,DEVO!$E:$E,0)-1,MATCH(AJ$1,DEVO!$1:$1,0)-6,1,7)),"")</f>
        <v>#N/A</v>
      </c>
      <c r="AN39" s="131" t="str">
        <f>IF(TODAY()&gt;=$AQ$1-6,SUM(OFFSET(ASISTENCIA!$E$1,MATCH($G39,ASISTENCIA!$E:$E,0)-1,MATCH(AN$1,ASISTENCIA!$3:$3,0)-5,1,1)),"")</f>
        <v>#N/A</v>
      </c>
      <c r="AO39" s="131" t="str">
        <f>OFFSET(ASISTENCIA!$E$1,MATCH($G39,ASISTENCIA!$E:$E,0)-1,MATCH(AO$1,ASISTENCIA!$3:$3,0)-5,1,1)</f>
        <v>#N/A</v>
      </c>
      <c r="AP39" s="131" t="str">
        <f>OFFSET(ASISTENCIA!$E$1,MATCH($G39,ASISTENCIA!$E:$E,0)-1,MATCH(AP$1,ASISTENCIA!$3:$3,0)-5,1,1)</f>
        <v>#N/A</v>
      </c>
      <c r="AQ39" s="136" t="str">
        <f>IF(TODAY()&gt;=$AQ$1-6,SUM(OFFSET(DEVO!$F$1,MATCH($G39,DEVO!$E:$E,0)-1,MATCH(AN$1,DEVO!$1:$1,0)-6,1,7)),"")</f>
        <v>#N/A</v>
      </c>
      <c r="AR39" s="131" t="str">
        <f>IF(TODAY()&gt;=$AU$1-6,SUM(OFFSET(ASISTENCIA!$E$1,MATCH($G39,ASISTENCIA!$E:$E,0)-1,MATCH(AR$1,ASISTENCIA!$3:$3,0)-5,1,1)),"")</f>
        <v>#N/A</v>
      </c>
      <c r="AS39" s="131" t="str">
        <f>OFFSET(ASISTENCIA!$E$1,MATCH($G39,ASISTENCIA!$E:$E,0)-1,MATCH(AS$1,ASISTENCIA!$3:$3,0)-5,1,1)</f>
        <v>#N/A</v>
      </c>
      <c r="AT39" s="131" t="str">
        <f>OFFSET(ASISTENCIA!$E$1,MATCH($G39,ASISTENCIA!$E:$E,0)-1,MATCH(AT$1,ASISTENCIA!$3:$3,0)-5,1,1)</f>
        <v>#N/A</v>
      </c>
      <c r="AU39" s="136" t="str">
        <f>IF(TODAY()&gt;=$AU$1-6,SUM(OFFSET(DEVO!$F$1,MATCH($G39,DEVO!$E:$E,0)-1,MATCH(AR$1,DEVO!$1:$1,0)-6,1,7)),"")</f>
        <v>#N/A</v>
      </c>
      <c r="AV39" s="131" t="str">
        <f>OFFSET(ASISTENCIA!$E$1,MATCH($G39,ASISTENCIA!$E:$E,0)-1,MATCH(AV$1,ASISTENCIA!$3:$3,0)-5,1,1)</f>
        <v>#N/A</v>
      </c>
      <c r="AW39" s="131" t="str">
        <f>OFFSET(ASISTENCIA!$E$1,MATCH($G39,ASISTENCIA!$E:$E,0)-1,MATCH(AW$1,ASISTENCIA!$3:$3,0)-5,1,1)</f>
        <v>#N/A</v>
      </c>
      <c r="AY39" s="173">
        <f t="shared" si="2"/>
        <v>0</v>
      </c>
      <c r="AZ39" s="174">
        <f t="shared" si="3"/>
        <v>0</v>
      </c>
      <c r="BA39" s="174">
        <f t="shared" si="4"/>
        <v>0</v>
      </c>
      <c r="BB39" s="174">
        <f t="shared" si="5"/>
        <v>0</v>
      </c>
      <c r="BC39" s="174">
        <f t="shared" si="6"/>
        <v>0</v>
      </c>
      <c r="BD39" s="174">
        <f t="shared" si="7"/>
        <v>0</v>
      </c>
      <c r="BE39" s="174">
        <f t="shared" si="8"/>
        <v>0</v>
      </c>
      <c r="BF39" s="174">
        <f t="shared" si="9"/>
        <v>0</v>
      </c>
      <c r="BG39" s="174">
        <f t="shared" si="10"/>
        <v>0</v>
      </c>
      <c r="BH39" s="152">
        <f t="shared" si="11"/>
        <v>0</v>
      </c>
      <c r="BI39" s="153" t="str">
        <f t="shared" si="12"/>
        <v>OBSERVADOS</v>
      </c>
      <c r="BJ39" s="175" t="str">
        <f t="shared" si="13"/>
        <v>#N/A</v>
      </c>
      <c r="BK39" s="176" t="str">
        <f t="shared" si="14"/>
        <v>#N/A</v>
      </c>
      <c r="BL39" s="176" t="str">
        <f t="shared" si="15"/>
        <v>#N/A</v>
      </c>
      <c r="BM39" s="176" t="str">
        <f t="shared" si="16"/>
        <v>#N/A</v>
      </c>
      <c r="BN39" s="176" t="str">
        <f t="shared" si="17"/>
        <v>#N/A</v>
      </c>
      <c r="BO39" s="176" t="str">
        <f t="shared" si="18"/>
        <v>#N/A</v>
      </c>
      <c r="BP39" s="176" t="str">
        <f t="shared" si="19"/>
        <v>#N/A</v>
      </c>
      <c r="BQ39" s="176" t="str">
        <f t="shared" si="20"/>
        <v>#N/A</v>
      </c>
      <c r="BR39" s="176" t="str">
        <f t="shared" si="21"/>
        <v>#N/A</v>
      </c>
      <c r="BS39" s="207" t="str">
        <f>OFFSET(ASISTENCIA!$E$1,MATCH($G39,ASISTENCIA!$E:$E,0)-1,MATCH(BS$1,ASISTENCIA!$3:$3,0)-5,1,1)</f>
        <v>#N/A</v>
      </c>
      <c r="BT39" s="207" t="str">
        <f>OFFSET(ASISTENCIA!$E$1,MATCH($G39,ASISTENCIA!$E:$E,0)-1,MATCH(BT$1,ASISTENCIA!$3:$3,0)-5,1,1)</f>
        <v>#N/A</v>
      </c>
      <c r="BU39" s="215" t="str">
        <f>OFFSET(ASISTENCIA!$E$1,MATCH($G39,ASISTENCIA!$E:$E,0)-1,MATCH(BU$1,ASISTENCIA!$3:$3,0)-5,1,1)</f>
        <v>#N/A</v>
      </c>
      <c r="BV39" s="215" t="str">
        <f>OFFSET(ASISTENCIA!$E$1,MATCH($G39,ASISTENCIA!$E:$E,0)-1,MATCH(BV$1,ASISTENCIA!$3:$3,0)-5,1,1)</f>
        <v>#N/A</v>
      </c>
      <c r="BW39" s="55"/>
      <c r="BX39" s="55"/>
      <c r="BY39" s="55"/>
    </row>
    <row r="40">
      <c r="A40" s="123">
        <f t="shared" si="22"/>
        <v>37</v>
      </c>
      <c r="B40" s="127"/>
      <c r="C40" s="128"/>
      <c r="D40" s="128"/>
      <c r="E40" s="127"/>
      <c r="F40" s="127"/>
      <c r="G40" s="128"/>
      <c r="H40" s="128"/>
      <c r="I40" s="129"/>
      <c r="J40" s="129" t="str">
        <f>DEVO!F41</f>
        <v/>
      </c>
      <c r="K40" s="129" t="str">
        <f t="shared" si="1"/>
        <v/>
      </c>
      <c r="L40" s="131" t="str">
        <f>IF(TODAY()&gt;=$O$1-6,SUM(OFFSET(ASISTENCIA!$E$1,MATCH($G40,ASISTENCIA!$E:$E,0)-1,MATCH(L$1,ASISTENCIA!$3:$3,0)-5,1,1)),"")</f>
        <v>#N/A</v>
      </c>
      <c r="M40" s="131" t="str">
        <f>OFFSET(ASISTENCIA!$E$1,MATCH($G40,ASISTENCIA!$E:$E,0)-1,MATCH(M$1,ASISTENCIA!$3:$3,0)-5,1,1)</f>
        <v>#N/A</v>
      </c>
      <c r="N40" s="131" t="str">
        <f>OFFSET(ASISTENCIA!$E$1,MATCH($G40,ASISTENCIA!$E:$E,0)-1,MATCH(N$1,ASISTENCIA!$3:$3,0)-5,1,1)</f>
        <v>#N/A</v>
      </c>
      <c r="O40" s="136" t="str">
        <f>IF(TODAY()&gt;=$O$1-6,SUM(OFFSET(DEVO!$F$1,MATCH($G40,DEVO!$E:$E,0)-1,MATCH(L$1,DEVO!$1:$1,0)-6,1,7)),"")</f>
        <v>#N/A</v>
      </c>
      <c r="P40" s="131" t="str">
        <f>IF(TODAY()&gt;=$S$1-6,SUM(OFFSET(ASISTENCIA!$E$1,MATCH($G40,ASISTENCIA!$E:$E,0)-1,MATCH(P$1,ASISTENCIA!$3:$3,0)-5,1,1)),"")</f>
        <v>#N/A</v>
      </c>
      <c r="Q40" s="131" t="str">
        <f>OFFSET(ASISTENCIA!$E$1,MATCH($G40,ASISTENCIA!$E:$E,0)-1,MATCH(Q$1,ASISTENCIA!$3:$3,0)-5,1,1)</f>
        <v>#N/A</v>
      </c>
      <c r="R40" s="131" t="str">
        <f>OFFSET(ASISTENCIA!$E$1,MATCH($G40,ASISTENCIA!$E:$E,0)-1,MATCH(R$1,ASISTENCIA!$3:$3,0)-5,1,1)</f>
        <v>#N/A</v>
      </c>
      <c r="S40" s="136" t="str">
        <f>IF(TODAY()&gt;=$S$1-6,SUM(OFFSET(DEVO!$F$1,MATCH($G40,DEVO!$E:$E,0)-1,MATCH(P$1,DEVO!$1:$1,0)-6,1,7)),"")</f>
        <v>#N/A</v>
      </c>
      <c r="T40" s="131" t="str">
        <f>IF(TODAY()&gt;=$W$1-6,SUM(OFFSET(ASISTENCIA!$E$1,MATCH($G40,ASISTENCIA!$E:$E,0)-1,MATCH(T$1,ASISTENCIA!$3:$3,0)-5,1,1)),"")</f>
        <v>#N/A</v>
      </c>
      <c r="U40" s="131" t="str">
        <f>OFFSET(ASISTENCIA!$E$1,MATCH($G40,ASISTENCIA!$E:$E,0)-1,MATCH(U$1,ASISTENCIA!$3:$3,0)-5,1,1)</f>
        <v>#N/A</v>
      </c>
      <c r="V40" s="131" t="str">
        <f>OFFSET(ASISTENCIA!$E$1,MATCH($G40,ASISTENCIA!$E:$E,0)-1,MATCH(V$1,ASISTENCIA!$3:$3,0)-5,1,1)</f>
        <v>#N/A</v>
      </c>
      <c r="W40" s="136" t="str">
        <f>IF(TODAY()&gt;=$W$1-6,SUM(OFFSET(DEVO!$F$1,MATCH($G40,DEVO!$E:$E,0)-1,MATCH(T$1,DEVO!$1:$1,0)-6,1,7)),"")</f>
        <v>#N/A</v>
      </c>
      <c r="X40" s="131" t="str">
        <f>IF(TODAY()&gt;=$AA$1-6,SUM(OFFSET(ASISTENCIA!$E$1,MATCH($G40,ASISTENCIA!$E:$E,0)-1,MATCH(X$1,ASISTENCIA!$3:$3,0)-5,1,1)),"")</f>
        <v>#N/A</v>
      </c>
      <c r="Y40" s="131" t="str">
        <f>OFFSET(ASISTENCIA!$E$1,MATCH($G40,ASISTENCIA!$E:$E,0)-1,MATCH(Y$1,ASISTENCIA!$3:$3,0)-5,1,1)</f>
        <v>#N/A</v>
      </c>
      <c r="Z40" s="131" t="str">
        <f>OFFSET(ASISTENCIA!$E$1,MATCH($G40,ASISTENCIA!$E:$E,0)-1,MATCH(Z$1,ASISTENCIA!$3:$3,0)-5,1,1)</f>
        <v>#N/A</v>
      </c>
      <c r="AA40" s="136" t="str">
        <f>IF(TODAY()&gt;=$AA$1-6,SUM(OFFSET(DEVO!$F$1,MATCH($G40,DEVO!$E:$E,0)-1,MATCH(X$1,DEVO!$1:$1,0)-6,1,7)),"")</f>
        <v>#N/A</v>
      </c>
      <c r="AB40" s="131" t="str">
        <f>IF(TODAY()&gt;=$AE$1-6,SUM(OFFSET(ASISTENCIA!$E$1,MATCH($G40,ASISTENCIA!$E:$E,0)-1,MATCH(AB$1,ASISTENCIA!$3:$3,0)-5,1,1)),"")</f>
        <v>#N/A</v>
      </c>
      <c r="AC40" s="131" t="str">
        <f>OFFSET(ASISTENCIA!$E$1,MATCH($G40,ASISTENCIA!$E:$E,0)-1,MATCH(AC$1,ASISTENCIA!$3:$3,0)-5,1,1)</f>
        <v>#N/A</v>
      </c>
      <c r="AD40" s="131" t="str">
        <f>OFFSET(ASISTENCIA!$E$1,MATCH($G40,ASISTENCIA!$E:$E,0)-1,MATCH(AD$1,ASISTENCIA!$3:$3,0)-5,1,1)</f>
        <v>#N/A</v>
      </c>
      <c r="AE40" s="136" t="str">
        <f>IF(TODAY()&gt;=$AE$1-6,SUM(OFFSET(DEVO!$F$1,MATCH($G40,DEVO!$E:$E,0)-1,MATCH(AB$1,DEVO!$1:$1,0)-6,1,7)),"")</f>
        <v>#N/A</v>
      </c>
      <c r="AF40" s="131" t="str">
        <f>IF(TODAY()&gt;=$AI$1-6,SUM(OFFSET(ASISTENCIA!$E$1,MATCH($G40,ASISTENCIA!$E:$E,0)-1,MATCH(AF$1,ASISTENCIA!$3:$3,0)-5,1,1)),"")</f>
        <v>#N/A</v>
      </c>
      <c r="AG40" s="131" t="str">
        <f>OFFSET(ASISTENCIA!$E$1,MATCH($G40,ASISTENCIA!$E:$E,0)-1,MATCH(AG$1,ASISTENCIA!$3:$3,0)-5,1,1)</f>
        <v>#N/A</v>
      </c>
      <c r="AH40" s="131" t="str">
        <f>OFFSET(ASISTENCIA!$E$1,MATCH($G40,ASISTENCIA!$E:$E,0)-1,MATCH(AH$1,ASISTENCIA!$3:$3,0)-5,1,1)</f>
        <v>#N/A</v>
      </c>
      <c r="AI40" s="136" t="str">
        <f>IF(TODAY()&gt;=$AI$1-6,SUM(OFFSET(DEVO!$F$1,MATCH($G40,DEVO!$E:$E,0)-1,MATCH(AF$1,DEVO!$1:$1,0)-6,1,7)),"")</f>
        <v>#N/A</v>
      </c>
      <c r="AJ40" s="131" t="str">
        <f>IF(TODAY()&gt;=$AM$1-6,SUM(OFFSET(ASISTENCIA!$E$1,MATCH($G40,ASISTENCIA!$E:$E,0)-1,MATCH(AJ$1,ASISTENCIA!$3:$3,0)-5,1,1)),"")</f>
        <v>#N/A</v>
      </c>
      <c r="AK40" s="131" t="str">
        <f>OFFSET(ASISTENCIA!$E$1,MATCH($G40,ASISTENCIA!$E:$E,0)-1,MATCH(AK$1,ASISTENCIA!$3:$3,0)-5,1,1)</f>
        <v>#N/A</v>
      </c>
      <c r="AL40" s="131" t="str">
        <f>OFFSET(ASISTENCIA!$E$1,MATCH($G40,ASISTENCIA!$E:$E,0)-1,MATCH(AL$1,ASISTENCIA!$3:$3,0)-5,1,1)</f>
        <v>#N/A</v>
      </c>
      <c r="AM40" s="136" t="str">
        <f>IF(TODAY()&gt;=$AM$1-6,SUM(OFFSET(DEVO!$F$1,MATCH($G40,DEVO!$E:$E,0)-1,MATCH(AJ$1,DEVO!$1:$1,0)-6,1,7)),"")</f>
        <v>#N/A</v>
      </c>
      <c r="AN40" s="131" t="str">
        <f>IF(TODAY()&gt;=$AQ$1-6,SUM(OFFSET(ASISTENCIA!$E$1,MATCH($G40,ASISTENCIA!$E:$E,0)-1,MATCH(AN$1,ASISTENCIA!$3:$3,0)-5,1,1)),"")</f>
        <v>#N/A</v>
      </c>
      <c r="AO40" s="131" t="str">
        <f>OFFSET(ASISTENCIA!$E$1,MATCH($G40,ASISTENCIA!$E:$E,0)-1,MATCH(AO$1,ASISTENCIA!$3:$3,0)-5,1,1)</f>
        <v>#N/A</v>
      </c>
      <c r="AP40" s="131" t="str">
        <f>OFFSET(ASISTENCIA!$E$1,MATCH($G40,ASISTENCIA!$E:$E,0)-1,MATCH(AP$1,ASISTENCIA!$3:$3,0)-5,1,1)</f>
        <v>#N/A</v>
      </c>
      <c r="AQ40" s="136" t="str">
        <f>IF(TODAY()&gt;=$AQ$1-6,SUM(OFFSET(DEVO!$F$1,MATCH($G40,DEVO!$E:$E,0)-1,MATCH(AN$1,DEVO!$1:$1,0)-6,1,7)),"")</f>
        <v>#N/A</v>
      </c>
      <c r="AR40" s="131" t="str">
        <f>IF(TODAY()&gt;=$AU$1-6,SUM(OFFSET(ASISTENCIA!$E$1,MATCH($G40,ASISTENCIA!$E:$E,0)-1,MATCH(AR$1,ASISTENCIA!$3:$3,0)-5,1,1)),"")</f>
        <v>#N/A</v>
      </c>
      <c r="AS40" s="131" t="str">
        <f>OFFSET(ASISTENCIA!$E$1,MATCH($G40,ASISTENCIA!$E:$E,0)-1,MATCH(AS$1,ASISTENCIA!$3:$3,0)-5,1,1)</f>
        <v>#N/A</v>
      </c>
      <c r="AT40" s="131" t="str">
        <f>OFFSET(ASISTENCIA!$E$1,MATCH($G40,ASISTENCIA!$E:$E,0)-1,MATCH(AT$1,ASISTENCIA!$3:$3,0)-5,1,1)</f>
        <v>#N/A</v>
      </c>
      <c r="AU40" s="136" t="str">
        <f>IF(TODAY()&gt;=$AU$1-6,SUM(OFFSET(DEVO!$F$1,MATCH($G40,DEVO!$E:$E,0)-1,MATCH(AR$1,DEVO!$1:$1,0)-6,1,7)),"")</f>
        <v>#N/A</v>
      </c>
      <c r="AV40" s="131" t="str">
        <f>OFFSET(ASISTENCIA!$E$1,MATCH($G40,ASISTENCIA!$E:$E,0)-1,MATCH(AV$1,ASISTENCIA!$3:$3,0)-5,1,1)</f>
        <v>#N/A</v>
      </c>
      <c r="AW40" s="131" t="str">
        <f>OFFSET(ASISTENCIA!$E$1,MATCH($G40,ASISTENCIA!$E:$E,0)-1,MATCH(AW$1,ASISTENCIA!$3:$3,0)-5,1,1)</f>
        <v>#N/A</v>
      </c>
      <c r="AY40" s="173">
        <f t="shared" si="2"/>
        <v>0</v>
      </c>
      <c r="AZ40" s="174">
        <f t="shared" si="3"/>
        <v>0</v>
      </c>
      <c r="BA40" s="174">
        <f t="shared" si="4"/>
        <v>0</v>
      </c>
      <c r="BB40" s="174">
        <f t="shared" si="5"/>
        <v>0</v>
      </c>
      <c r="BC40" s="174">
        <f t="shared" si="6"/>
        <v>0</v>
      </c>
      <c r="BD40" s="174">
        <f t="shared" si="7"/>
        <v>0</v>
      </c>
      <c r="BE40" s="174">
        <f t="shared" si="8"/>
        <v>0</v>
      </c>
      <c r="BF40" s="174">
        <f t="shared" si="9"/>
        <v>0</v>
      </c>
      <c r="BG40" s="174">
        <f t="shared" si="10"/>
        <v>0</v>
      </c>
      <c r="BH40" s="152">
        <f t="shared" si="11"/>
        <v>0</v>
      </c>
      <c r="BI40" s="153" t="str">
        <f t="shared" si="12"/>
        <v>OBSERVADOS</v>
      </c>
      <c r="BJ40" s="175" t="str">
        <f t="shared" si="13"/>
        <v>#N/A</v>
      </c>
      <c r="BK40" s="176" t="str">
        <f t="shared" si="14"/>
        <v>#N/A</v>
      </c>
      <c r="BL40" s="176" t="str">
        <f t="shared" si="15"/>
        <v>#N/A</v>
      </c>
      <c r="BM40" s="176" t="str">
        <f t="shared" si="16"/>
        <v>#N/A</v>
      </c>
      <c r="BN40" s="176" t="str">
        <f t="shared" si="17"/>
        <v>#N/A</v>
      </c>
      <c r="BO40" s="176" t="str">
        <f t="shared" si="18"/>
        <v>#N/A</v>
      </c>
      <c r="BP40" s="176" t="str">
        <f t="shared" si="19"/>
        <v>#N/A</v>
      </c>
      <c r="BQ40" s="176" t="str">
        <f t="shared" si="20"/>
        <v>#N/A</v>
      </c>
      <c r="BR40" s="176" t="str">
        <f t="shared" si="21"/>
        <v>#N/A</v>
      </c>
      <c r="BS40" s="207" t="str">
        <f>OFFSET(ASISTENCIA!$E$1,MATCH($G40,ASISTENCIA!$E:$E,0)-1,MATCH(BS$1,ASISTENCIA!$3:$3,0)-5,1,1)</f>
        <v>#N/A</v>
      </c>
      <c r="BT40" s="207" t="str">
        <f>OFFSET(ASISTENCIA!$E$1,MATCH($G40,ASISTENCIA!$E:$E,0)-1,MATCH(BT$1,ASISTENCIA!$3:$3,0)-5,1,1)</f>
        <v>#N/A</v>
      </c>
      <c r="BU40" s="215" t="str">
        <f>OFFSET(ASISTENCIA!$E$1,MATCH($G40,ASISTENCIA!$E:$E,0)-1,MATCH(BU$1,ASISTENCIA!$3:$3,0)-5,1,1)</f>
        <v>#N/A</v>
      </c>
      <c r="BV40" s="215" t="str">
        <f>OFFSET(ASISTENCIA!$E$1,MATCH($G40,ASISTENCIA!$E:$E,0)-1,MATCH(BV$1,ASISTENCIA!$3:$3,0)-5,1,1)</f>
        <v>#N/A</v>
      </c>
      <c r="BW40" s="55"/>
      <c r="BX40" s="55"/>
      <c r="BY40" s="55"/>
    </row>
    <row r="41">
      <c r="A41" s="123">
        <f t="shared" si="22"/>
        <v>38</v>
      </c>
      <c r="B41" s="127"/>
      <c r="C41" s="128"/>
      <c r="D41" s="128"/>
      <c r="E41" s="127"/>
      <c r="F41" s="127"/>
      <c r="G41" s="128"/>
      <c r="H41" s="128"/>
      <c r="I41" s="129"/>
      <c r="J41" s="129" t="str">
        <f>DEVO!F42</f>
        <v/>
      </c>
      <c r="K41" s="129" t="str">
        <f t="shared" si="1"/>
        <v/>
      </c>
      <c r="L41" s="131" t="str">
        <f>IF(TODAY()&gt;=$O$1-6,SUM(OFFSET(ASISTENCIA!$E$1,MATCH($G41,ASISTENCIA!$E:$E,0)-1,MATCH(L$1,ASISTENCIA!$3:$3,0)-5,1,1)),"")</f>
        <v>#N/A</v>
      </c>
      <c r="M41" s="131" t="str">
        <f>OFFSET(ASISTENCIA!$E$1,MATCH($G41,ASISTENCIA!$E:$E,0)-1,MATCH(M$1,ASISTENCIA!$3:$3,0)-5,1,1)</f>
        <v>#N/A</v>
      </c>
      <c r="N41" s="131" t="str">
        <f>OFFSET(ASISTENCIA!$E$1,MATCH($G41,ASISTENCIA!$E:$E,0)-1,MATCH(N$1,ASISTENCIA!$3:$3,0)-5,1,1)</f>
        <v>#N/A</v>
      </c>
      <c r="O41" s="136" t="str">
        <f>IF(TODAY()&gt;=$O$1-6,SUM(OFFSET(DEVO!$F$1,MATCH($G41,DEVO!$E:$E,0)-1,MATCH(L$1,DEVO!$1:$1,0)-6,1,7)),"")</f>
        <v>#N/A</v>
      </c>
      <c r="P41" s="131" t="str">
        <f>IF(TODAY()&gt;=$S$1-6,SUM(OFFSET(ASISTENCIA!$E$1,MATCH($G41,ASISTENCIA!$E:$E,0)-1,MATCH(P$1,ASISTENCIA!$3:$3,0)-5,1,1)),"")</f>
        <v>#N/A</v>
      </c>
      <c r="Q41" s="131" t="str">
        <f>OFFSET(ASISTENCIA!$E$1,MATCH($G41,ASISTENCIA!$E:$E,0)-1,MATCH(Q$1,ASISTENCIA!$3:$3,0)-5,1,1)</f>
        <v>#N/A</v>
      </c>
      <c r="R41" s="131" t="str">
        <f>OFFSET(ASISTENCIA!$E$1,MATCH($G41,ASISTENCIA!$E:$E,0)-1,MATCH(R$1,ASISTENCIA!$3:$3,0)-5,1,1)</f>
        <v>#N/A</v>
      </c>
      <c r="S41" s="136" t="str">
        <f>IF(TODAY()&gt;=$S$1-6,SUM(OFFSET(DEVO!$F$1,MATCH($G41,DEVO!$E:$E,0)-1,MATCH(P$1,DEVO!$1:$1,0)-6,1,7)),"")</f>
        <v>#N/A</v>
      </c>
      <c r="T41" s="131" t="str">
        <f>IF(TODAY()&gt;=$W$1-6,SUM(OFFSET(ASISTENCIA!$E$1,MATCH($G41,ASISTENCIA!$E:$E,0)-1,MATCH(T$1,ASISTENCIA!$3:$3,0)-5,1,1)),"")</f>
        <v>#N/A</v>
      </c>
      <c r="U41" s="131" t="str">
        <f>OFFSET(ASISTENCIA!$E$1,MATCH($G41,ASISTENCIA!$E:$E,0)-1,MATCH(U$1,ASISTENCIA!$3:$3,0)-5,1,1)</f>
        <v>#N/A</v>
      </c>
      <c r="V41" s="131" t="str">
        <f>OFFSET(ASISTENCIA!$E$1,MATCH($G41,ASISTENCIA!$E:$E,0)-1,MATCH(V$1,ASISTENCIA!$3:$3,0)-5,1,1)</f>
        <v>#N/A</v>
      </c>
      <c r="W41" s="136" t="str">
        <f>IF(TODAY()&gt;=$W$1-6,SUM(OFFSET(DEVO!$F$1,MATCH($G41,DEVO!$E:$E,0)-1,MATCH(T$1,DEVO!$1:$1,0)-6,1,7)),"")</f>
        <v>#N/A</v>
      </c>
      <c r="X41" s="131" t="str">
        <f>IF(TODAY()&gt;=$AA$1-6,SUM(OFFSET(ASISTENCIA!$E$1,MATCH($G41,ASISTENCIA!$E:$E,0)-1,MATCH(X$1,ASISTENCIA!$3:$3,0)-5,1,1)),"")</f>
        <v>#N/A</v>
      </c>
      <c r="Y41" s="131" t="str">
        <f>OFFSET(ASISTENCIA!$E$1,MATCH($G41,ASISTENCIA!$E:$E,0)-1,MATCH(Y$1,ASISTENCIA!$3:$3,0)-5,1,1)</f>
        <v>#N/A</v>
      </c>
      <c r="Z41" s="131" t="str">
        <f>OFFSET(ASISTENCIA!$E$1,MATCH($G41,ASISTENCIA!$E:$E,0)-1,MATCH(Z$1,ASISTENCIA!$3:$3,0)-5,1,1)</f>
        <v>#N/A</v>
      </c>
      <c r="AA41" s="136" t="str">
        <f>IF(TODAY()&gt;=$AA$1-6,SUM(OFFSET(DEVO!$F$1,MATCH($G41,DEVO!$E:$E,0)-1,MATCH(X$1,DEVO!$1:$1,0)-6,1,7)),"")</f>
        <v>#N/A</v>
      </c>
      <c r="AB41" s="131" t="str">
        <f>IF(TODAY()&gt;=$AE$1-6,SUM(OFFSET(ASISTENCIA!$E$1,MATCH($G41,ASISTENCIA!$E:$E,0)-1,MATCH(AB$1,ASISTENCIA!$3:$3,0)-5,1,1)),"")</f>
        <v>#N/A</v>
      </c>
      <c r="AC41" s="131" t="str">
        <f>OFFSET(ASISTENCIA!$E$1,MATCH($G41,ASISTENCIA!$E:$E,0)-1,MATCH(AC$1,ASISTENCIA!$3:$3,0)-5,1,1)</f>
        <v>#N/A</v>
      </c>
      <c r="AD41" s="131" t="str">
        <f>OFFSET(ASISTENCIA!$E$1,MATCH($G41,ASISTENCIA!$E:$E,0)-1,MATCH(AD$1,ASISTENCIA!$3:$3,0)-5,1,1)</f>
        <v>#N/A</v>
      </c>
      <c r="AE41" s="136" t="str">
        <f>IF(TODAY()&gt;=$AE$1-6,SUM(OFFSET(DEVO!$F$1,MATCH($G41,DEVO!$E:$E,0)-1,MATCH(AB$1,DEVO!$1:$1,0)-6,1,7)),"")</f>
        <v>#N/A</v>
      </c>
      <c r="AF41" s="131" t="str">
        <f>IF(TODAY()&gt;=$AI$1-6,SUM(OFFSET(ASISTENCIA!$E$1,MATCH($G41,ASISTENCIA!$E:$E,0)-1,MATCH(AF$1,ASISTENCIA!$3:$3,0)-5,1,1)),"")</f>
        <v>#N/A</v>
      </c>
      <c r="AG41" s="131" t="str">
        <f>OFFSET(ASISTENCIA!$E$1,MATCH($G41,ASISTENCIA!$E:$E,0)-1,MATCH(AG$1,ASISTENCIA!$3:$3,0)-5,1,1)</f>
        <v>#N/A</v>
      </c>
      <c r="AH41" s="131" t="str">
        <f>OFFSET(ASISTENCIA!$E$1,MATCH($G41,ASISTENCIA!$E:$E,0)-1,MATCH(AH$1,ASISTENCIA!$3:$3,0)-5,1,1)</f>
        <v>#N/A</v>
      </c>
      <c r="AI41" s="136" t="str">
        <f>IF(TODAY()&gt;=$AI$1-6,SUM(OFFSET(DEVO!$F$1,MATCH($G41,DEVO!$E:$E,0)-1,MATCH(AF$1,DEVO!$1:$1,0)-6,1,7)),"")</f>
        <v>#N/A</v>
      </c>
      <c r="AJ41" s="131" t="str">
        <f>IF(TODAY()&gt;=$AM$1-6,SUM(OFFSET(ASISTENCIA!$E$1,MATCH($G41,ASISTENCIA!$E:$E,0)-1,MATCH(AJ$1,ASISTENCIA!$3:$3,0)-5,1,1)),"")</f>
        <v>#N/A</v>
      </c>
      <c r="AK41" s="131" t="str">
        <f>OFFSET(ASISTENCIA!$E$1,MATCH($G41,ASISTENCIA!$E:$E,0)-1,MATCH(AK$1,ASISTENCIA!$3:$3,0)-5,1,1)</f>
        <v>#N/A</v>
      </c>
      <c r="AL41" s="131" t="str">
        <f>OFFSET(ASISTENCIA!$E$1,MATCH($G41,ASISTENCIA!$E:$E,0)-1,MATCH(AL$1,ASISTENCIA!$3:$3,0)-5,1,1)</f>
        <v>#N/A</v>
      </c>
      <c r="AM41" s="136" t="str">
        <f>IF(TODAY()&gt;=$AM$1-6,SUM(OFFSET(DEVO!$F$1,MATCH($G41,DEVO!$E:$E,0)-1,MATCH(AJ$1,DEVO!$1:$1,0)-6,1,7)),"")</f>
        <v>#N/A</v>
      </c>
      <c r="AN41" s="131" t="str">
        <f>IF(TODAY()&gt;=$AQ$1-6,SUM(OFFSET(ASISTENCIA!$E$1,MATCH($G41,ASISTENCIA!$E:$E,0)-1,MATCH(AN$1,ASISTENCIA!$3:$3,0)-5,1,1)),"")</f>
        <v>#N/A</v>
      </c>
      <c r="AO41" s="131" t="str">
        <f>OFFSET(ASISTENCIA!$E$1,MATCH($G41,ASISTENCIA!$E:$E,0)-1,MATCH(AO$1,ASISTENCIA!$3:$3,0)-5,1,1)</f>
        <v>#N/A</v>
      </c>
      <c r="AP41" s="131" t="str">
        <f>OFFSET(ASISTENCIA!$E$1,MATCH($G41,ASISTENCIA!$E:$E,0)-1,MATCH(AP$1,ASISTENCIA!$3:$3,0)-5,1,1)</f>
        <v>#N/A</v>
      </c>
      <c r="AQ41" s="136" t="str">
        <f>IF(TODAY()&gt;=$AQ$1-6,SUM(OFFSET(DEVO!$F$1,MATCH($G41,DEVO!$E:$E,0)-1,MATCH(AN$1,DEVO!$1:$1,0)-6,1,7)),"")</f>
        <v>#N/A</v>
      </c>
      <c r="AR41" s="131" t="str">
        <f>IF(TODAY()&gt;=$AU$1-6,SUM(OFFSET(ASISTENCIA!$E$1,MATCH($G41,ASISTENCIA!$E:$E,0)-1,MATCH(AR$1,ASISTENCIA!$3:$3,0)-5,1,1)),"")</f>
        <v>#N/A</v>
      </c>
      <c r="AS41" s="131" t="str">
        <f>OFFSET(ASISTENCIA!$E$1,MATCH($G41,ASISTENCIA!$E:$E,0)-1,MATCH(AS$1,ASISTENCIA!$3:$3,0)-5,1,1)</f>
        <v>#N/A</v>
      </c>
      <c r="AT41" s="131" t="str">
        <f>OFFSET(ASISTENCIA!$E$1,MATCH($G41,ASISTENCIA!$E:$E,0)-1,MATCH(AT$1,ASISTENCIA!$3:$3,0)-5,1,1)</f>
        <v>#N/A</v>
      </c>
      <c r="AU41" s="136" t="str">
        <f>IF(TODAY()&gt;=$AU$1-6,SUM(OFFSET(DEVO!$F$1,MATCH($G41,DEVO!$E:$E,0)-1,MATCH(AR$1,DEVO!$1:$1,0)-6,1,7)),"")</f>
        <v>#N/A</v>
      </c>
      <c r="AV41" s="131" t="str">
        <f>OFFSET(ASISTENCIA!$E$1,MATCH($G41,ASISTENCIA!$E:$E,0)-1,MATCH(AV$1,ASISTENCIA!$3:$3,0)-5,1,1)</f>
        <v>#N/A</v>
      </c>
      <c r="AW41" s="131" t="str">
        <f>OFFSET(ASISTENCIA!$E$1,MATCH($G41,ASISTENCIA!$E:$E,0)-1,MATCH(AW$1,ASISTENCIA!$3:$3,0)-5,1,1)</f>
        <v>#N/A</v>
      </c>
      <c r="AY41" s="173">
        <f t="shared" si="2"/>
        <v>0</v>
      </c>
      <c r="AZ41" s="174">
        <f t="shared" si="3"/>
        <v>0</v>
      </c>
      <c r="BA41" s="174">
        <f t="shared" si="4"/>
        <v>0</v>
      </c>
      <c r="BB41" s="174">
        <f t="shared" si="5"/>
        <v>0</v>
      </c>
      <c r="BC41" s="174">
        <f t="shared" si="6"/>
        <v>0</v>
      </c>
      <c r="BD41" s="174">
        <f t="shared" si="7"/>
        <v>0</v>
      </c>
      <c r="BE41" s="174">
        <f t="shared" si="8"/>
        <v>0</v>
      </c>
      <c r="BF41" s="174">
        <f t="shared" si="9"/>
        <v>0</v>
      </c>
      <c r="BG41" s="174">
        <f t="shared" si="10"/>
        <v>0</v>
      </c>
      <c r="BH41" s="152">
        <f t="shared" si="11"/>
        <v>0</v>
      </c>
      <c r="BI41" s="153" t="str">
        <f t="shared" si="12"/>
        <v>OBSERVADOS</v>
      </c>
      <c r="BJ41" s="175" t="str">
        <f t="shared" si="13"/>
        <v>#N/A</v>
      </c>
      <c r="BK41" s="176" t="str">
        <f t="shared" si="14"/>
        <v>#N/A</v>
      </c>
      <c r="BL41" s="176" t="str">
        <f t="shared" si="15"/>
        <v>#N/A</v>
      </c>
      <c r="BM41" s="176" t="str">
        <f t="shared" si="16"/>
        <v>#N/A</v>
      </c>
      <c r="BN41" s="176" t="str">
        <f t="shared" si="17"/>
        <v>#N/A</v>
      </c>
      <c r="BO41" s="176" t="str">
        <f t="shared" si="18"/>
        <v>#N/A</v>
      </c>
      <c r="BP41" s="176" t="str">
        <f t="shared" si="19"/>
        <v>#N/A</v>
      </c>
      <c r="BQ41" s="176" t="str">
        <f t="shared" si="20"/>
        <v>#N/A</v>
      </c>
      <c r="BR41" s="176" t="str">
        <f t="shared" si="21"/>
        <v>#N/A</v>
      </c>
      <c r="BS41" s="207" t="str">
        <f>OFFSET(ASISTENCIA!$E$1,MATCH($G41,ASISTENCIA!$E:$E,0)-1,MATCH(BS$1,ASISTENCIA!$3:$3,0)-5,1,1)</f>
        <v>#N/A</v>
      </c>
      <c r="BT41" s="207" t="str">
        <f>OFFSET(ASISTENCIA!$E$1,MATCH($G41,ASISTENCIA!$E:$E,0)-1,MATCH(BT$1,ASISTENCIA!$3:$3,0)-5,1,1)</f>
        <v>#N/A</v>
      </c>
      <c r="BU41" s="215" t="str">
        <f>OFFSET(ASISTENCIA!$E$1,MATCH($G41,ASISTENCIA!$E:$E,0)-1,MATCH(BU$1,ASISTENCIA!$3:$3,0)-5,1,1)</f>
        <v>#N/A</v>
      </c>
      <c r="BV41" s="215" t="str">
        <f>OFFSET(ASISTENCIA!$E$1,MATCH($G41,ASISTENCIA!$E:$E,0)-1,MATCH(BV$1,ASISTENCIA!$3:$3,0)-5,1,1)</f>
        <v>#N/A</v>
      </c>
      <c r="BW41" s="55"/>
      <c r="BX41" s="55"/>
      <c r="BY41" s="55"/>
    </row>
    <row r="42">
      <c r="A42" s="123">
        <f t="shared" si="22"/>
        <v>39</v>
      </c>
      <c r="B42" s="127"/>
      <c r="C42" s="128"/>
      <c r="D42" s="128"/>
      <c r="E42" s="127"/>
      <c r="F42" s="127"/>
      <c r="G42" s="128"/>
      <c r="H42" s="128"/>
      <c r="I42" s="129"/>
      <c r="J42" s="129" t="str">
        <f>DEVO!F43</f>
        <v/>
      </c>
      <c r="K42" s="129" t="str">
        <f t="shared" si="1"/>
        <v/>
      </c>
      <c r="L42" s="131" t="str">
        <f>IF(TODAY()&gt;=$O$1-6,SUM(OFFSET(ASISTENCIA!$E$1,MATCH($G42,ASISTENCIA!$E:$E,0)-1,MATCH(L$1,ASISTENCIA!$3:$3,0)-5,1,1)),"")</f>
        <v>#N/A</v>
      </c>
      <c r="M42" s="131" t="str">
        <f>OFFSET(ASISTENCIA!$E$1,MATCH($G42,ASISTENCIA!$E:$E,0)-1,MATCH(M$1,ASISTENCIA!$3:$3,0)-5,1,1)</f>
        <v>#N/A</v>
      </c>
      <c r="N42" s="131" t="str">
        <f>OFFSET(ASISTENCIA!$E$1,MATCH($G42,ASISTENCIA!$E:$E,0)-1,MATCH(N$1,ASISTENCIA!$3:$3,0)-5,1,1)</f>
        <v>#N/A</v>
      </c>
      <c r="O42" s="136" t="str">
        <f>IF(TODAY()&gt;=$O$1-6,SUM(OFFSET(DEVO!$F$1,MATCH($G42,DEVO!$E:$E,0)-1,MATCH(L$1,DEVO!$1:$1,0)-6,1,7)),"")</f>
        <v>#N/A</v>
      </c>
      <c r="P42" s="131" t="str">
        <f>IF(TODAY()&gt;=$S$1-6,SUM(OFFSET(ASISTENCIA!$E$1,MATCH($G42,ASISTENCIA!$E:$E,0)-1,MATCH(P$1,ASISTENCIA!$3:$3,0)-5,1,1)),"")</f>
        <v>#N/A</v>
      </c>
      <c r="Q42" s="131" t="str">
        <f>OFFSET(ASISTENCIA!$E$1,MATCH($G42,ASISTENCIA!$E:$E,0)-1,MATCH(Q$1,ASISTENCIA!$3:$3,0)-5,1,1)</f>
        <v>#N/A</v>
      </c>
      <c r="R42" s="131" t="str">
        <f>OFFSET(ASISTENCIA!$E$1,MATCH($G42,ASISTENCIA!$E:$E,0)-1,MATCH(R$1,ASISTENCIA!$3:$3,0)-5,1,1)</f>
        <v>#N/A</v>
      </c>
      <c r="S42" s="136" t="str">
        <f>IF(TODAY()&gt;=$S$1-6,SUM(OFFSET(DEVO!$F$1,MATCH($G42,DEVO!$E:$E,0)-1,MATCH(P$1,DEVO!$1:$1,0)-6,1,7)),"")</f>
        <v>#N/A</v>
      </c>
      <c r="T42" s="131" t="str">
        <f>IF(TODAY()&gt;=$W$1-6,SUM(OFFSET(ASISTENCIA!$E$1,MATCH($G42,ASISTENCIA!$E:$E,0)-1,MATCH(T$1,ASISTENCIA!$3:$3,0)-5,1,1)),"")</f>
        <v>#N/A</v>
      </c>
      <c r="U42" s="131" t="str">
        <f>OFFSET(ASISTENCIA!$E$1,MATCH($G42,ASISTENCIA!$E:$E,0)-1,MATCH(U$1,ASISTENCIA!$3:$3,0)-5,1,1)</f>
        <v>#N/A</v>
      </c>
      <c r="V42" s="131" t="str">
        <f>OFFSET(ASISTENCIA!$E$1,MATCH($G42,ASISTENCIA!$E:$E,0)-1,MATCH(V$1,ASISTENCIA!$3:$3,0)-5,1,1)</f>
        <v>#N/A</v>
      </c>
      <c r="W42" s="136" t="str">
        <f>IF(TODAY()&gt;=$W$1-6,SUM(OFFSET(DEVO!$F$1,MATCH($G42,DEVO!$E:$E,0)-1,MATCH(T$1,DEVO!$1:$1,0)-6,1,7)),"")</f>
        <v>#N/A</v>
      </c>
      <c r="X42" s="131" t="str">
        <f>IF(TODAY()&gt;=$AA$1-6,SUM(OFFSET(ASISTENCIA!$E$1,MATCH($G42,ASISTENCIA!$E:$E,0)-1,MATCH(X$1,ASISTENCIA!$3:$3,0)-5,1,1)),"")</f>
        <v>#N/A</v>
      </c>
      <c r="Y42" s="131" t="str">
        <f>OFFSET(ASISTENCIA!$E$1,MATCH($G42,ASISTENCIA!$E:$E,0)-1,MATCH(Y$1,ASISTENCIA!$3:$3,0)-5,1,1)</f>
        <v>#N/A</v>
      </c>
      <c r="Z42" s="131" t="str">
        <f>OFFSET(ASISTENCIA!$E$1,MATCH($G42,ASISTENCIA!$E:$E,0)-1,MATCH(Z$1,ASISTENCIA!$3:$3,0)-5,1,1)</f>
        <v>#N/A</v>
      </c>
      <c r="AA42" s="136" t="str">
        <f>IF(TODAY()&gt;=$AA$1-6,SUM(OFFSET(DEVO!$F$1,MATCH($G42,DEVO!$E:$E,0)-1,MATCH(X$1,DEVO!$1:$1,0)-6,1,7)),"")</f>
        <v>#N/A</v>
      </c>
      <c r="AB42" s="131" t="str">
        <f>IF(TODAY()&gt;=$AE$1-6,SUM(OFFSET(ASISTENCIA!$E$1,MATCH($G42,ASISTENCIA!$E:$E,0)-1,MATCH(AB$1,ASISTENCIA!$3:$3,0)-5,1,1)),"")</f>
        <v>#N/A</v>
      </c>
      <c r="AC42" s="131" t="str">
        <f>OFFSET(ASISTENCIA!$E$1,MATCH($G42,ASISTENCIA!$E:$E,0)-1,MATCH(AC$1,ASISTENCIA!$3:$3,0)-5,1,1)</f>
        <v>#N/A</v>
      </c>
      <c r="AD42" s="131" t="str">
        <f>OFFSET(ASISTENCIA!$E$1,MATCH($G42,ASISTENCIA!$E:$E,0)-1,MATCH(AD$1,ASISTENCIA!$3:$3,0)-5,1,1)</f>
        <v>#N/A</v>
      </c>
      <c r="AE42" s="136" t="str">
        <f>IF(TODAY()&gt;=$AE$1-6,SUM(OFFSET(DEVO!$F$1,MATCH($G42,DEVO!$E:$E,0)-1,MATCH(AB$1,DEVO!$1:$1,0)-6,1,7)),"")</f>
        <v>#N/A</v>
      </c>
      <c r="AF42" s="131" t="str">
        <f>IF(TODAY()&gt;=$AI$1-6,SUM(OFFSET(ASISTENCIA!$E$1,MATCH($G42,ASISTENCIA!$E:$E,0)-1,MATCH(AF$1,ASISTENCIA!$3:$3,0)-5,1,1)),"")</f>
        <v>#N/A</v>
      </c>
      <c r="AG42" s="131" t="str">
        <f>OFFSET(ASISTENCIA!$E$1,MATCH($G42,ASISTENCIA!$E:$E,0)-1,MATCH(AG$1,ASISTENCIA!$3:$3,0)-5,1,1)</f>
        <v>#N/A</v>
      </c>
      <c r="AH42" s="131" t="str">
        <f>OFFSET(ASISTENCIA!$E$1,MATCH($G42,ASISTENCIA!$E:$E,0)-1,MATCH(AH$1,ASISTENCIA!$3:$3,0)-5,1,1)</f>
        <v>#N/A</v>
      </c>
      <c r="AI42" s="136" t="str">
        <f>IF(TODAY()&gt;=$AI$1-6,SUM(OFFSET(DEVO!$F$1,MATCH($G42,DEVO!$E:$E,0)-1,MATCH(AF$1,DEVO!$1:$1,0)-6,1,7)),"")</f>
        <v>#N/A</v>
      </c>
      <c r="AJ42" s="131" t="str">
        <f>IF(TODAY()&gt;=$AM$1-6,SUM(OFFSET(ASISTENCIA!$E$1,MATCH($G42,ASISTENCIA!$E:$E,0)-1,MATCH(AJ$1,ASISTENCIA!$3:$3,0)-5,1,1)),"")</f>
        <v>#N/A</v>
      </c>
      <c r="AK42" s="131" t="str">
        <f>OFFSET(ASISTENCIA!$E$1,MATCH($G42,ASISTENCIA!$E:$E,0)-1,MATCH(AK$1,ASISTENCIA!$3:$3,0)-5,1,1)</f>
        <v>#N/A</v>
      </c>
      <c r="AL42" s="131" t="str">
        <f>OFFSET(ASISTENCIA!$E$1,MATCH($G42,ASISTENCIA!$E:$E,0)-1,MATCH(AL$1,ASISTENCIA!$3:$3,0)-5,1,1)</f>
        <v>#N/A</v>
      </c>
      <c r="AM42" s="136" t="str">
        <f>IF(TODAY()&gt;=$AM$1-6,SUM(OFFSET(DEVO!$F$1,MATCH($G42,DEVO!$E:$E,0)-1,MATCH(AJ$1,DEVO!$1:$1,0)-6,1,7)),"")</f>
        <v>#N/A</v>
      </c>
      <c r="AN42" s="131" t="str">
        <f>IF(TODAY()&gt;=$AQ$1-6,SUM(OFFSET(ASISTENCIA!$E$1,MATCH($G42,ASISTENCIA!$E:$E,0)-1,MATCH(AN$1,ASISTENCIA!$3:$3,0)-5,1,1)),"")</f>
        <v>#N/A</v>
      </c>
      <c r="AO42" s="131" t="str">
        <f>OFFSET(ASISTENCIA!$E$1,MATCH($G42,ASISTENCIA!$E:$E,0)-1,MATCH(AO$1,ASISTENCIA!$3:$3,0)-5,1,1)</f>
        <v>#N/A</v>
      </c>
      <c r="AP42" s="131" t="str">
        <f>OFFSET(ASISTENCIA!$E$1,MATCH($G42,ASISTENCIA!$E:$E,0)-1,MATCH(AP$1,ASISTENCIA!$3:$3,0)-5,1,1)</f>
        <v>#N/A</v>
      </c>
      <c r="AQ42" s="136" t="str">
        <f>IF(TODAY()&gt;=$AQ$1-6,SUM(OFFSET(DEVO!$F$1,MATCH($G42,DEVO!$E:$E,0)-1,MATCH(AN$1,DEVO!$1:$1,0)-6,1,7)),"")</f>
        <v>#N/A</v>
      </c>
      <c r="AR42" s="131" t="str">
        <f>IF(TODAY()&gt;=$AU$1-6,SUM(OFFSET(ASISTENCIA!$E$1,MATCH($G42,ASISTENCIA!$E:$E,0)-1,MATCH(AR$1,ASISTENCIA!$3:$3,0)-5,1,1)),"")</f>
        <v>#N/A</v>
      </c>
      <c r="AS42" s="131" t="str">
        <f>OFFSET(ASISTENCIA!$E$1,MATCH($G42,ASISTENCIA!$E:$E,0)-1,MATCH(AS$1,ASISTENCIA!$3:$3,0)-5,1,1)</f>
        <v>#N/A</v>
      </c>
      <c r="AT42" s="131" t="str">
        <f>OFFSET(ASISTENCIA!$E$1,MATCH($G42,ASISTENCIA!$E:$E,0)-1,MATCH(AT$1,ASISTENCIA!$3:$3,0)-5,1,1)</f>
        <v>#N/A</v>
      </c>
      <c r="AU42" s="136" t="str">
        <f>IF(TODAY()&gt;=$AU$1-6,SUM(OFFSET(DEVO!$F$1,MATCH($G42,DEVO!$E:$E,0)-1,MATCH(AR$1,DEVO!$1:$1,0)-6,1,7)),"")</f>
        <v>#N/A</v>
      </c>
      <c r="AV42" s="131" t="str">
        <f>OFFSET(ASISTENCIA!$E$1,MATCH($G42,ASISTENCIA!$E:$E,0)-1,MATCH(AV$1,ASISTENCIA!$3:$3,0)-5,1,1)</f>
        <v>#N/A</v>
      </c>
      <c r="AW42" s="131" t="str">
        <f>OFFSET(ASISTENCIA!$E$1,MATCH($G42,ASISTENCIA!$E:$E,0)-1,MATCH(AW$1,ASISTENCIA!$3:$3,0)-5,1,1)</f>
        <v>#N/A</v>
      </c>
      <c r="AY42" s="173">
        <f t="shared" si="2"/>
        <v>0</v>
      </c>
      <c r="AZ42" s="174">
        <f t="shared" si="3"/>
        <v>0</v>
      </c>
      <c r="BA42" s="174">
        <f t="shared" si="4"/>
        <v>0</v>
      </c>
      <c r="BB42" s="174">
        <f t="shared" si="5"/>
        <v>0</v>
      </c>
      <c r="BC42" s="174">
        <f t="shared" si="6"/>
        <v>0</v>
      </c>
      <c r="BD42" s="174">
        <f t="shared" si="7"/>
        <v>0</v>
      </c>
      <c r="BE42" s="174">
        <f t="shared" si="8"/>
        <v>0</v>
      </c>
      <c r="BF42" s="174">
        <f t="shared" si="9"/>
        <v>0</v>
      </c>
      <c r="BG42" s="174">
        <f t="shared" si="10"/>
        <v>0</v>
      </c>
      <c r="BH42" s="152">
        <f t="shared" si="11"/>
        <v>0</v>
      </c>
      <c r="BI42" s="153" t="str">
        <f t="shared" si="12"/>
        <v>OBSERVADOS</v>
      </c>
      <c r="BJ42" s="175" t="str">
        <f t="shared" si="13"/>
        <v>#N/A</v>
      </c>
      <c r="BK42" s="176" t="str">
        <f t="shared" si="14"/>
        <v>#N/A</v>
      </c>
      <c r="BL42" s="176" t="str">
        <f t="shared" si="15"/>
        <v>#N/A</v>
      </c>
      <c r="BM42" s="176" t="str">
        <f t="shared" si="16"/>
        <v>#N/A</v>
      </c>
      <c r="BN42" s="176" t="str">
        <f t="shared" si="17"/>
        <v>#N/A</v>
      </c>
      <c r="BO42" s="176" t="str">
        <f t="shared" si="18"/>
        <v>#N/A</v>
      </c>
      <c r="BP42" s="176" t="str">
        <f t="shared" si="19"/>
        <v>#N/A</v>
      </c>
      <c r="BQ42" s="176" t="str">
        <f t="shared" si="20"/>
        <v>#N/A</v>
      </c>
      <c r="BR42" s="176" t="str">
        <f t="shared" si="21"/>
        <v>#N/A</v>
      </c>
      <c r="BS42" s="207" t="str">
        <f>OFFSET(ASISTENCIA!$E$1,MATCH($G42,ASISTENCIA!$E:$E,0)-1,MATCH(BS$1,ASISTENCIA!$3:$3,0)-5,1,1)</f>
        <v>#N/A</v>
      </c>
      <c r="BT42" s="207" t="str">
        <f>OFFSET(ASISTENCIA!$E$1,MATCH($G42,ASISTENCIA!$E:$E,0)-1,MATCH(BT$1,ASISTENCIA!$3:$3,0)-5,1,1)</f>
        <v>#N/A</v>
      </c>
      <c r="BU42" s="215" t="str">
        <f>OFFSET(ASISTENCIA!$E$1,MATCH($G42,ASISTENCIA!$E:$E,0)-1,MATCH(BU$1,ASISTENCIA!$3:$3,0)-5,1,1)</f>
        <v>#N/A</v>
      </c>
      <c r="BV42" s="215" t="str">
        <f>OFFSET(ASISTENCIA!$E$1,MATCH($G42,ASISTENCIA!$E:$E,0)-1,MATCH(BV$1,ASISTENCIA!$3:$3,0)-5,1,1)</f>
        <v>#N/A</v>
      </c>
      <c r="BW42" s="55"/>
      <c r="BX42" s="55"/>
      <c r="BY42" s="55"/>
    </row>
    <row r="43">
      <c r="A43" s="123">
        <f t="shared" si="22"/>
        <v>40</v>
      </c>
      <c r="B43" s="127"/>
      <c r="C43" s="128"/>
      <c r="D43" s="128"/>
      <c r="E43" s="127"/>
      <c r="F43" s="127"/>
      <c r="G43" s="128"/>
      <c r="H43" s="128"/>
      <c r="I43" s="129"/>
      <c r="J43" s="129" t="str">
        <f>DEVO!F44</f>
        <v/>
      </c>
      <c r="K43" s="129" t="str">
        <f t="shared" si="1"/>
        <v/>
      </c>
      <c r="L43" s="131" t="str">
        <f>IF(TODAY()&gt;=$O$1-6,SUM(OFFSET(ASISTENCIA!$E$1,MATCH($G43,ASISTENCIA!$E:$E,0)-1,MATCH(L$1,ASISTENCIA!$3:$3,0)-5,1,1)),"")</f>
        <v>#N/A</v>
      </c>
      <c r="M43" s="131" t="str">
        <f>OFFSET(ASISTENCIA!$E$1,MATCH($G43,ASISTENCIA!$E:$E,0)-1,MATCH(M$1,ASISTENCIA!$3:$3,0)-5,1,1)</f>
        <v>#N/A</v>
      </c>
      <c r="N43" s="131" t="str">
        <f>OFFSET(ASISTENCIA!$E$1,MATCH($G43,ASISTENCIA!$E:$E,0)-1,MATCH(N$1,ASISTENCIA!$3:$3,0)-5,1,1)</f>
        <v>#N/A</v>
      </c>
      <c r="O43" s="136" t="str">
        <f>IF(TODAY()&gt;=$O$1-6,SUM(OFFSET(DEVO!$F$1,MATCH($G43,DEVO!$E:$E,0)-1,MATCH(L$1,DEVO!$1:$1,0)-6,1,7)),"")</f>
        <v>#N/A</v>
      </c>
      <c r="P43" s="131" t="str">
        <f>IF(TODAY()&gt;=$S$1-6,SUM(OFFSET(ASISTENCIA!$E$1,MATCH($G43,ASISTENCIA!$E:$E,0)-1,MATCH(P$1,ASISTENCIA!$3:$3,0)-5,1,1)),"")</f>
        <v>#N/A</v>
      </c>
      <c r="Q43" s="131" t="str">
        <f>OFFSET(ASISTENCIA!$E$1,MATCH($G43,ASISTENCIA!$E:$E,0)-1,MATCH(Q$1,ASISTENCIA!$3:$3,0)-5,1,1)</f>
        <v>#N/A</v>
      </c>
      <c r="R43" s="131" t="str">
        <f>OFFSET(ASISTENCIA!$E$1,MATCH($G43,ASISTENCIA!$E:$E,0)-1,MATCH(R$1,ASISTENCIA!$3:$3,0)-5,1,1)</f>
        <v>#N/A</v>
      </c>
      <c r="S43" s="136" t="str">
        <f>IF(TODAY()&gt;=$S$1-6,SUM(OFFSET(DEVO!$F$1,MATCH($G43,DEVO!$E:$E,0)-1,MATCH(P$1,DEVO!$1:$1,0)-6,1,7)),"")</f>
        <v>#N/A</v>
      </c>
      <c r="T43" s="131" t="str">
        <f>IF(TODAY()&gt;=$W$1-6,SUM(OFFSET(ASISTENCIA!$E$1,MATCH($G43,ASISTENCIA!$E:$E,0)-1,MATCH(T$1,ASISTENCIA!$3:$3,0)-5,1,1)),"")</f>
        <v>#N/A</v>
      </c>
      <c r="U43" s="131" t="str">
        <f>OFFSET(ASISTENCIA!$E$1,MATCH($G43,ASISTENCIA!$E:$E,0)-1,MATCH(U$1,ASISTENCIA!$3:$3,0)-5,1,1)</f>
        <v>#N/A</v>
      </c>
      <c r="V43" s="131" t="str">
        <f>OFFSET(ASISTENCIA!$E$1,MATCH($G43,ASISTENCIA!$E:$E,0)-1,MATCH(V$1,ASISTENCIA!$3:$3,0)-5,1,1)</f>
        <v>#N/A</v>
      </c>
      <c r="W43" s="136" t="str">
        <f>IF(TODAY()&gt;=$W$1-6,SUM(OFFSET(DEVO!$F$1,MATCH($G43,DEVO!$E:$E,0)-1,MATCH(T$1,DEVO!$1:$1,0)-6,1,7)),"")</f>
        <v>#N/A</v>
      </c>
      <c r="X43" s="131" t="str">
        <f>IF(TODAY()&gt;=$AA$1-6,SUM(OFFSET(ASISTENCIA!$E$1,MATCH($G43,ASISTENCIA!$E:$E,0)-1,MATCH(X$1,ASISTENCIA!$3:$3,0)-5,1,1)),"")</f>
        <v>#N/A</v>
      </c>
      <c r="Y43" s="131" t="str">
        <f>OFFSET(ASISTENCIA!$E$1,MATCH($G43,ASISTENCIA!$E:$E,0)-1,MATCH(Y$1,ASISTENCIA!$3:$3,0)-5,1,1)</f>
        <v>#N/A</v>
      </c>
      <c r="Z43" s="131" t="str">
        <f>OFFSET(ASISTENCIA!$E$1,MATCH($G43,ASISTENCIA!$E:$E,0)-1,MATCH(Z$1,ASISTENCIA!$3:$3,0)-5,1,1)</f>
        <v>#N/A</v>
      </c>
      <c r="AA43" s="136" t="str">
        <f>IF(TODAY()&gt;=$AA$1-6,SUM(OFFSET(DEVO!$F$1,MATCH($G43,DEVO!$E:$E,0)-1,MATCH(X$1,DEVO!$1:$1,0)-6,1,7)),"")</f>
        <v>#N/A</v>
      </c>
      <c r="AB43" s="131" t="str">
        <f>IF(TODAY()&gt;=$AE$1-6,SUM(OFFSET(ASISTENCIA!$E$1,MATCH($G43,ASISTENCIA!$E:$E,0)-1,MATCH(AB$1,ASISTENCIA!$3:$3,0)-5,1,1)),"")</f>
        <v>#N/A</v>
      </c>
      <c r="AC43" s="131" t="str">
        <f>OFFSET(ASISTENCIA!$E$1,MATCH($G43,ASISTENCIA!$E:$E,0)-1,MATCH(AC$1,ASISTENCIA!$3:$3,0)-5,1,1)</f>
        <v>#N/A</v>
      </c>
      <c r="AD43" s="131" t="str">
        <f>OFFSET(ASISTENCIA!$E$1,MATCH($G43,ASISTENCIA!$E:$E,0)-1,MATCH(AD$1,ASISTENCIA!$3:$3,0)-5,1,1)</f>
        <v>#N/A</v>
      </c>
      <c r="AE43" s="136" t="str">
        <f>IF(TODAY()&gt;=$AE$1-6,SUM(OFFSET(DEVO!$F$1,MATCH($G43,DEVO!$E:$E,0)-1,MATCH(AB$1,DEVO!$1:$1,0)-6,1,7)),"")</f>
        <v>#N/A</v>
      </c>
      <c r="AF43" s="131" t="str">
        <f>IF(TODAY()&gt;=$AI$1-6,SUM(OFFSET(ASISTENCIA!$E$1,MATCH($G43,ASISTENCIA!$E:$E,0)-1,MATCH(AF$1,ASISTENCIA!$3:$3,0)-5,1,1)),"")</f>
        <v>#N/A</v>
      </c>
      <c r="AG43" s="131" t="str">
        <f>OFFSET(ASISTENCIA!$E$1,MATCH($G43,ASISTENCIA!$E:$E,0)-1,MATCH(AG$1,ASISTENCIA!$3:$3,0)-5,1,1)</f>
        <v>#N/A</v>
      </c>
      <c r="AH43" s="131" t="str">
        <f>OFFSET(ASISTENCIA!$E$1,MATCH($G43,ASISTENCIA!$E:$E,0)-1,MATCH(AH$1,ASISTENCIA!$3:$3,0)-5,1,1)</f>
        <v>#N/A</v>
      </c>
      <c r="AI43" s="136" t="str">
        <f>IF(TODAY()&gt;=$AI$1-6,SUM(OFFSET(DEVO!$F$1,MATCH($G43,DEVO!$E:$E,0)-1,MATCH(AF$1,DEVO!$1:$1,0)-6,1,7)),"")</f>
        <v>#N/A</v>
      </c>
      <c r="AJ43" s="131" t="str">
        <f>IF(TODAY()&gt;=$AM$1-6,SUM(OFFSET(ASISTENCIA!$E$1,MATCH($G43,ASISTENCIA!$E:$E,0)-1,MATCH(AJ$1,ASISTENCIA!$3:$3,0)-5,1,1)),"")</f>
        <v>#N/A</v>
      </c>
      <c r="AK43" s="131" t="str">
        <f>OFFSET(ASISTENCIA!$E$1,MATCH($G43,ASISTENCIA!$E:$E,0)-1,MATCH(AK$1,ASISTENCIA!$3:$3,0)-5,1,1)</f>
        <v>#N/A</v>
      </c>
      <c r="AL43" s="131" t="str">
        <f>OFFSET(ASISTENCIA!$E$1,MATCH($G43,ASISTENCIA!$E:$E,0)-1,MATCH(AL$1,ASISTENCIA!$3:$3,0)-5,1,1)</f>
        <v>#N/A</v>
      </c>
      <c r="AM43" s="136" t="str">
        <f>IF(TODAY()&gt;=$AM$1-6,SUM(OFFSET(DEVO!$F$1,MATCH($G43,DEVO!$E:$E,0)-1,MATCH(AJ$1,DEVO!$1:$1,0)-6,1,7)),"")</f>
        <v>#N/A</v>
      </c>
      <c r="AN43" s="131" t="str">
        <f>IF(TODAY()&gt;=$AQ$1-6,SUM(OFFSET(ASISTENCIA!$E$1,MATCH($G43,ASISTENCIA!$E:$E,0)-1,MATCH(AN$1,ASISTENCIA!$3:$3,0)-5,1,1)),"")</f>
        <v>#N/A</v>
      </c>
      <c r="AO43" s="131" t="str">
        <f>OFFSET(ASISTENCIA!$E$1,MATCH($G43,ASISTENCIA!$E:$E,0)-1,MATCH(AO$1,ASISTENCIA!$3:$3,0)-5,1,1)</f>
        <v>#N/A</v>
      </c>
      <c r="AP43" s="131" t="str">
        <f>OFFSET(ASISTENCIA!$E$1,MATCH($G43,ASISTENCIA!$E:$E,0)-1,MATCH(AP$1,ASISTENCIA!$3:$3,0)-5,1,1)</f>
        <v>#N/A</v>
      </c>
      <c r="AQ43" s="136" t="str">
        <f>IF(TODAY()&gt;=$AQ$1-6,SUM(OFFSET(DEVO!$F$1,MATCH($G43,DEVO!$E:$E,0)-1,MATCH(AN$1,DEVO!$1:$1,0)-6,1,7)),"")</f>
        <v>#N/A</v>
      </c>
      <c r="AR43" s="131" t="str">
        <f>IF(TODAY()&gt;=$AU$1-6,SUM(OFFSET(ASISTENCIA!$E$1,MATCH($G43,ASISTENCIA!$E:$E,0)-1,MATCH(AR$1,ASISTENCIA!$3:$3,0)-5,1,1)),"")</f>
        <v>#N/A</v>
      </c>
      <c r="AS43" s="131" t="str">
        <f>OFFSET(ASISTENCIA!$E$1,MATCH($G43,ASISTENCIA!$E:$E,0)-1,MATCH(AS$1,ASISTENCIA!$3:$3,0)-5,1,1)</f>
        <v>#N/A</v>
      </c>
      <c r="AT43" s="131" t="str">
        <f>OFFSET(ASISTENCIA!$E$1,MATCH($G43,ASISTENCIA!$E:$E,0)-1,MATCH(AT$1,ASISTENCIA!$3:$3,0)-5,1,1)</f>
        <v>#N/A</v>
      </c>
      <c r="AU43" s="136" t="str">
        <f>IF(TODAY()&gt;=$AU$1-6,SUM(OFFSET(DEVO!$F$1,MATCH($G43,DEVO!$E:$E,0)-1,MATCH(AR$1,DEVO!$1:$1,0)-6,1,7)),"")</f>
        <v>#N/A</v>
      </c>
      <c r="AV43" s="131" t="str">
        <f>OFFSET(ASISTENCIA!$E$1,MATCH($G43,ASISTENCIA!$E:$E,0)-1,MATCH(AV$1,ASISTENCIA!$3:$3,0)-5,1,1)</f>
        <v>#N/A</v>
      </c>
      <c r="AW43" s="131" t="str">
        <f>OFFSET(ASISTENCIA!$E$1,MATCH($G43,ASISTENCIA!$E:$E,0)-1,MATCH(AW$1,ASISTENCIA!$3:$3,0)-5,1,1)</f>
        <v>#N/A</v>
      </c>
      <c r="AY43" s="173">
        <f t="shared" si="2"/>
        <v>0</v>
      </c>
      <c r="AZ43" s="174">
        <f t="shared" si="3"/>
        <v>0</v>
      </c>
      <c r="BA43" s="174">
        <f t="shared" si="4"/>
        <v>0</v>
      </c>
      <c r="BB43" s="174">
        <f t="shared" si="5"/>
        <v>0</v>
      </c>
      <c r="BC43" s="174">
        <f t="shared" si="6"/>
        <v>0</v>
      </c>
      <c r="BD43" s="174">
        <f t="shared" si="7"/>
        <v>0</v>
      </c>
      <c r="BE43" s="174">
        <f t="shared" si="8"/>
        <v>0</v>
      </c>
      <c r="BF43" s="174">
        <f t="shared" si="9"/>
        <v>0</v>
      </c>
      <c r="BG43" s="174">
        <f t="shared" si="10"/>
        <v>0</v>
      </c>
      <c r="BH43" s="152">
        <f t="shared" si="11"/>
        <v>0</v>
      </c>
      <c r="BI43" s="153" t="str">
        <f t="shared" si="12"/>
        <v>OBSERVADOS</v>
      </c>
      <c r="BJ43" s="175" t="str">
        <f t="shared" si="13"/>
        <v>#N/A</v>
      </c>
      <c r="BK43" s="176" t="str">
        <f t="shared" si="14"/>
        <v>#N/A</v>
      </c>
      <c r="BL43" s="176" t="str">
        <f t="shared" si="15"/>
        <v>#N/A</v>
      </c>
      <c r="BM43" s="176" t="str">
        <f t="shared" si="16"/>
        <v>#N/A</v>
      </c>
      <c r="BN43" s="176" t="str">
        <f t="shared" si="17"/>
        <v>#N/A</v>
      </c>
      <c r="BO43" s="176" t="str">
        <f t="shared" si="18"/>
        <v>#N/A</v>
      </c>
      <c r="BP43" s="176" t="str">
        <f t="shared" si="19"/>
        <v>#N/A</v>
      </c>
      <c r="BQ43" s="176" t="str">
        <f t="shared" si="20"/>
        <v>#N/A</v>
      </c>
      <c r="BR43" s="176" t="str">
        <f t="shared" si="21"/>
        <v>#N/A</v>
      </c>
      <c r="BS43" s="207" t="str">
        <f>OFFSET(ASISTENCIA!$E$1,MATCH($G43,ASISTENCIA!$E:$E,0)-1,MATCH(BS$1,ASISTENCIA!$3:$3,0)-5,1,1)</f>
        <v>#N/A</v>
      </c>
      <c r="BT43" s="207" t="str">
        <f>OFFSET(ASISTENCIA!$E$1,MATCH($G43,ASISTENCIA!$E:$E,0)-1,MATCH(BT$1,ASISTENCIA!$3:$3,0)-5,1,1)</f>
        <v>#N/A</v>
      </c>
      <c r="BU43" s="215" t="str">
        <f>OFFSET(ASISTENCIA!$E$1,MATCH($G43,ASISTENCIA!$E:$E,0)-1,MATCH(BU$1,ASISTENCIA!$3:$3,0)-5,1,1)</f>
        <v>#N/A</v>
      </c>
      <c r="BV43" s="215" t="str">
        <f>OFFSET(ASISTENCIA!$E$1,MATCH($G43,ASISTENCIA!$E:$E,0)-1,MATCH(BV$1,ASISTENCIA!$3:$3,0)-5,1,1)</f>
        <v>#N/A</v>
      </c>
      <c r="BW43" s="55"/>
      <c r="BX43" s="55"/>
      <c r="BY43" s="55"/>
    </row>
    <row r="44">
      <c r="A44" s="123">
        <f t="shared" si="22"/>
        <v>41</v>
      </c>
      <c r="B44" s="127"/>
      <c r="C44" s="128"/>
      <c r="D44" s="128"/>
      <c r="E44" s="127"/>
      <c r="F44" s="127"/>
      <c r="G44" s="128"/>
      <c r="H44" s="128"/>
      <c r="I44" s="129"/>
      <c r="J44" s="129" t="str">
        <f>DEVO!F45</f>
        <v/>
      </c>
      <c r="K44" s="129" t="str">
        <f t="shared" si="1"/>
        <v/>
      </c>
      <c r="L44" s="131" t="str">
        <f>IF(TODAY()&gt;=$O$1-6,SUM(OFFSET(ASISTENCIA!$E$1,MATCH($G44,ASISTENCIA!$E:$E,0)-1,MATCH(L$1,ASISTENCIA!$3:$3,0)-5,1,1)),"")</f>
        <v>#N/A</v>
      </c>
      <c r="M44" s="131" t="str">
        <f>OFFSET(ASISTENCIA!$E$1,MATCH($G44,ASISTENCIA!$E:$E,0)-1,MATCH(M$1,ASISTENCIA!$3:$3,0)-5,1,1)</f>
        <v>#N/A</v>
      </c>
      <c r="N44" s="131" t="str">
        <f>OFFSET(ASISTENCIA!$E$1,MATCH($G44,ASISTENCIA!$E:$E,0)-1,MATCH(N$1,ASISTENCIA!$3:$3,0)-5,1,1)</f>
        <v>#N/A</v>
      </c>
      <c r="O44" s="136" t="str">
        <f>IF(TODAY()&gt;=$O$1-6,SUM(OFFSET(DEVO!$F$1,MATCH($G44,DEVO!$E:$E,0)-1,MATCH(L$1,DEVO!$1:$1,0)-6,1,7)),"")</f>
        <v>#N/A</v>
      </c>
      <c r="P44" s="131" t="str">
        <f>IF(TODAY()&gt;=$S$1-6,SUM(OFFSET(ASISTENCIA!$E$1,MATCH($G44,ASISTENCIA!$E:$E,0)-1,MATCH(P$1,ASISTENCIA!$3:$3,0)-5,1,1)),"")</f>
        <v>#N/A</v>
      </c>
      <c r="Q44" s="131" t="str">
        <f>OFFSET(ASISTENCIA!$E$1,MATCH($G44,ASISTENCIA!$E:$E,0)-1,MATCH(Q$1,ASISTENCIA!$3:$3,0)-5,1,1)</f>
        <v>#N/A</v>
      </c>
      <c r="R44" s="131" t="str">
        <f>OFFSET(ASISTENCIA!$E$1,MATCH($G44,ASISTENCIA!$E:$E,0)-1,MATCH(R$1,ASISTENCIA!$3:$3,0)-5,1,1)</f>
        <v>#N/A</v>
      </c>
      <c r="S44" s="136" t="str">
        <f>IF(TODAY()&gt;=$S$1-6,SUM(OFFSET(DEVO!$F$1,MATCH($G44,DEVO!$E:$E,0)-1,MATCH(P$1,DEVO!$1:$1,0)-6,1,7)),"")</f>
        <v>#N/A</v>
      </c>
      <c r="T44" s="131" t="str">
        <f>IF(TODAY()&gt;=$W$1-6,SUM(OFFSET(ASISTENCIA!$E$1,MATCH($G44,ASISTENCIA!$E:$E,0)-1,MATCH(T$1,ASISTENCIA!$3:$3,0)-5,1,1)),"")</f>
        <v>#N/A</v>
      </c>
      <c r="U44" s="131" t="str">
        <f>OFFSET(ASISTENCIA!$E$1,MATCH($G44,ASISTENCIA!$E:$E,0)-1,MATCH(U$1,ASISTENCIA!$3:$3,0)-5,1,1)</f>
        <v>#N/A</v>
      </c>
      <c r="V44" s="131" t="str">
        <f>OFFSET(ASISTENCIA!$E$1,MATCH($G44,ASISTENCIA!$E:$E,0)-1,MATCH(V$1,ASISTENCIA!$3:$3,0)-5,1,1)</f>
        <v>#N/A</v>
      </c>
      <c r="W44" s="136" t="str">
        <f>IF(TODAY()&gt;=$W$1-6,SUM(OFFSET(DEVO!$F$1,MATCH($G44,DEVO!$E:$E,0)-1,MATCH(T$1,DEVO!$1:$1,0)-6,1,7)),"")</f>
        <v>#N/A</v>
      </c>
      <c r="X44" s="131" t="str">
        <f>IF(TODAY()&gt;=$AA$1-6,SUM(OFFSET(ASISTENCIA!$E$1,MATCH($G44,ASISTENCIA!$E:$E,0)-1,MATCH(X$1,ASISTENCIA!$3:$3,0)-5,1,1)),"")</f>
        <v>#N/A</v>
      </c>
      <c r="Y44" s="131" t="str">
        <f>OFFSET(ASISTENCIA!$E$1,MATCH($G44,ASISTENCIA!$E:$E,0)-1,MATCH(Y$1,ASISTENCIA!$3:$3,0)-5,1,1)</f>
        <v>#N/A</v>
      </c>
      <c r="Z44" s="131" t="str">
        <f>OFFSET(ASISTENCIA!$E$1,MATCH($G44,ASISTENCIA!$E:$E,0)-1,MATCH(Z$1,ASISTENCIA!$3:$3,0)-5,1,1)</f>
        <v>#N/A</v>
      </c>
      <c r="AA44" s="136" t="str">
        <f>IF(TODAY()&gt;=$AA$1-6,SUM(OFFSET(DEVO!$F$1,MATCH($G44,DEVO!$E:$E,0)-1,MATCH(X$1,DEVO!$1:$1,0)-6,1,7)),"")</f>
        <v>#N/A</v>
      </c>
      <c r="AB44" s="131" t="str">
        <f>IF(TODAY()&gt;=$AE$1-6,SUM(OFFSET(ASISTENCIA!$E$1,MATCH($G44,ASISTENCIA!$E:$E,0)-1,MATCH(AB$1,ASISTENCIA!$3:$3,0)-5,1,1)),"")</f>
        <v>#N/A</v>
      </c>
      <c r="AC44" s="131" t="str">
        <f>OFFSET(ASISTENCIA!$E$1,MATCH($G44,ASISTENCIA!$E:$E,0)-1,MATCH(AC$1,ASISTENCIA!$3:$3,0)-5,1,1)</f>
        <v>#N/A</v>
      </c>
      <c r="AD44" s="131" t="str">
        <f>OFFSET(ASISTENCIA!$E$1,MATCH($G44,ASISTENCIA!$E:$E,0)-1,MATCH(AD$1,ASISTENCIA!$3:$3,0)-5,1,1)</f>
        <v>#N/A</v>
      </c>
      <c r="AE44" s="136" t="str">
        <f>IF(TODAY()&gt;=$AE$1-6,SUM(OFFSET(DEVO!$F$1,MATCH($G44,DEVO!$E:$E,0)-1,MATCH(AB$1,DEVO!$1:$1,0)-6,1,7)),"")</f>
        <v>#N/A</v>
      </c>
      <c r="AF44" s="131" t="str">
        <f>IF(TODAY()&gt;=$AI$1-6,SUM(OFFSET(ASISTENCIA!$E$1,MATCH($G44,ASISTENCIA!$E:$E,0)-1,MATCH(AF$1,ASISTENCIA!$3:$3,0)-5,1,1)),"")</f>
        <v>#N/A</v>
      </c>
      <c r="AG44" s="131" t="str">
        <f>OFFSET(ASISTENCIA!$E$1,MATCH($G44,ASISTENCIA!$E:$E,0)-1,MATCH(AG$1,ASISTENCIA!$3:$3,0)-5,1,1)</f>
        <v>#N/A</v>
      </c>
      <c r="AH44" s="131" t="str">
        <f>OFFSET(ASISTENCIA!$E$1,MATCH($G44,ASISTENCIA!$E:$E,0)-1,MATCH(AH$1,ASISTENCIA!$3:$3,0)-5,1,1)</f>
        <v>#N/A</v>
      </c>
      <c r="AI44" s="136" t="str">
        <f>IF(TODAY()&gt;=$AI$1-6,SUM(OFFSET(DEVO!$F$1,MATCH($G44,DEVO!$E:$E,0)-1,MATCH(AF$1,DEVO!$1:$1,0)-6,1,7)),"")</f>
        <v>#N/A</v>
      </c>
      <c r="AJ44" s="131" t="str">
        <f>IF(TODAY()&gt;=$AM$1-6,SUM(OFFSET(ASISTENCIA!$E$1,MATCH($G44,ASISTENCIA!$E:$E,0)-1,MATCH(AJ$1,ASISTENCIA!$3:$3,0)-5,1,1)),"")</f>
        <v>#N/A</v>
      </c>
      <c r="AK44" s="131" t="str">
        <f>OFFSET(ASISTENCIA!$E$1,MATCH($G44,ASISTENCIA!$E:$E,0)-1,MATCH(AK$1,ASISTENCIA!$3:$3,0)-5,1,1)</f>
        <v>#N/A</v>
      </c>
      <c r="AL44" s="131" t="str">
        <f>OFFSET(ASISTENCIA!$E$1,MATCH($G44,ASISTENCIA!$E:$E,0)-1,MATCH(AL$1,ASISTENCIA!$3:$3,0)-5,1,1)</f>
        <v>#N/A</v>
      </c>
      <c r="AM44" s="136" t="str">
        <f>IF(TODAY()&gt;=$AM$1-6,SUM(OFFSET(DEVO!$F$1,MATCH($G44,DEVO!$E:$E,0)-1,MATCH(AJ$1,DEVO!$1:$1,0)-6,1,7)),"")</f>
        <v>#N/A</v>
      </c>
      <c r="AN44" s="131" t="str">
        <f>IF(TODAY()&gt;=$AQ$1-6,SUM(OFFSET(ASISTENCIA!$E$1,MATCH($G44,ASISTENCIA!$E:$E,0)-1,MATCH(AN$1,ASISTENCIA!$3:$3,0)-5,1,1)),"")</f>
        <v>#N/A</v>
      </c>
      <c r="AO44" s="131" t="str">
        <f>OFFSET(ASISTENCIA!$E$1,MATCH($G44,ASISTENCIA!$E:$E,0)-1,MATCH(AO$1,ASISTENCIA!$3:$3,0)-5,1,1)</f>
        <v>#N/A</v>
      </c>
      <c r="AP44" s="131" t="str">
        <f>OFFSET(ASISTENCIA!$E$1,MATCH($G44,ASISTENCIA!$E:$E,0)-1,MATCH(AP$1,ASISTENCIA!$3:$3,0)-5,1,1)</f>
        <v>#N/A</v>
      </c>
      <c r="AQ44" s="136" t="str">
        <f>IF(TODAY()&gt;=$AQ$1-6,SUM(OFFSET(DEVO!$F$1,MATCH($G44,DEVO!$E:$E,0)-1,MATCH(AN$1,DEVO!$1:$1,0)-6,1,7)),"")</f>
        <v>#N/A</v>
      </c>
      <c r="AR44" s="131" t="str">
        <f>IF(TODAY()&gt;=$AU$1-6,SUM(OFFSET(ASISTENCIA!$E$1,MATCH($G44,ASISTENCIA!$E:$E,0)-1,MATCH(AR$1,ASISTENCIA!$3:$3,0)-5,1,1)),"")</f>
        <v>#N/A</v>
      </c>
      <c r="AS44" s="131" t="str">
        <f>OFFSET(ASISTENCIA!$E$1,MATCH($G44,ASISTENCIA!$E:$E,0)-1,MATCH(AS$1,ASISTENCIA!$3:$3,0)-5,1,1)</f>
        <v>#N/A</v>
      </c>
      <c r="AT44" s="131" t="str">
        <f>OFFSET(ASISTENCIA!$E$1,MATCH($G44,ASISTENCIA!$E:$E,0)-1,MATCH(AT$1,ASISTENCIA!$3:$3,0)-5,1,1)</f>
        <v>#N/A</v>
      </c>
      <c r="AU44" s="136" t="str">
        <f>IF(TODAY()&gt;=$AU$1-6,SUM(OFFSET(DEVO!$F$1,MATCH($G44,DEVO!$E:$E,0)-1,MATCH(AR$1,DEVO!$1:$1,0)-6,1,7)),"")</f>
        <v>#N/A</v>
      </c>
      <c r="AV44" s="131" t="str">
        <f>OFFSET(ASISTENCIA!$E$1,MATCH($G44,ASISTENCIA!$E:$E,0)-1,MATCH(AV$1,ASISTENCIA!$3:$3,0)-5,1,1)</f>
        <v>#N/A</v>
      </c>
      <c r="AW44" s="131" t="str">
        <f>OFFSET(ASISTENCIA!$E$1,MATCH($G44,ASISTENCIA!$E:$E,0)-1,MATCH(AW$1,ASISTENCIA!$3:$3,0)-5,1,1)</f>
        <v>#N/A</v>
      </c>
      <c r="AY44" s="173">
        <f t="shared" si="2"/>
        <v>0</v>
      </c>
      <c r="AZ44" s="174">
        <f t="shared" si="3"/>
        <v>0</v>
      </c>
      <c r="BA44" s="174">
        <f t="shared" si="4"/>
        <v>0</v>
      </c>
      <c r="BB44" s="174">
        <f t="shared" si="5"/>
        <v>0</v>
      </c>
      <c r="BC44" s="174">
        <f t="shared" si="6"/>
        <v>0</v>
      </c>
      <c r="BD44" s="174">
        <f t="shared" si="7"/>
        <v>0</v>
      </c>
      <c r="BE44" s="174">
        <f t="shared" si="8"/>
        <v>0</v>
      </c>
      <c r="BF44" s="174">
        <f t="shared" si="9"/>
        <v>0</v>
      </c>
      <c r="BG44" s="174">
        <f t="shared" si="10"/>
        <v>0</v>
      </c>
      <c r="BH44" s="152">
        <f t="shared" si="11"/>
        <v>0</v>
      </c>
      <c r="BI44" s="153" t="str">
        <f t="shared" si="12"/>
        <v>OBSERVADOS</v>
      </c>
      <c r="BJ44" s="175" t="str">
        <f t="shared" si="13"/>
        <v>#N/A</v>
      </c>
      <c r="BK44" s="176" t="str">
        <f t="shared" si="14"/>
        <v>#N/A</v>
      </c>
      <c r="BL44" s="176" t="str">
        <f t="shared" si="15"/>
        <v>#N/A</v>
      </c>
      <c r="BM44" s="176" t="str">
        <f t="shared" si="16"/>
        <v>#N/A</v>
      </c>
      <c r="BN44" s="176" t="str">
        <f t="shared" si="17"/>
        <v>#N/A</v>
      </c>
      <c r="BO44" s="176" t="str">
        <f t="shared" si="18"/>
        <v>#N/A</v>
      </c>
      <c r="BP44" s="176" t="str">
        <f t="shared" si="19"/>
        <v>#N/A</v>
      </c>
      <c r="BQ44" s="176" t="str">
        <f t="shared" si="20"/>
        <v>#N/A</v>
      </c>
      <c r="BR44" s="176" t="str">
        <f t="shared" si="21"/>
        <v>#N/A</v>
      </c>
      <c r="BS44" s="207" t="str">
        <f>OFFSET(ASISTENCIA!$E$1,MATCH($G44,ASISTENCIA!$E:$E,0)-1,MATCH(BS$1,ASISTENCIA!$3:$3,0)-5,1,1)</f>
        <v>#N/A</v>
      </c>
      <c r="BT44" s="207" t="str">
        <f>OFFSET(ASISTENCIA!$E$1,MATCH($G44,ASISTENCIA!$E:$E,0)-1,MATCH(BT$1,ASISTENCIA!$3:$3,0)-5,1,1)</f>
        <v>#N/A</v>
      </c>
      <c r="BU44" s="215" t="str">
        <f>OFFSET(ASISTENCIA!$E$1,MATCH($G44,ASISTENCIA!$E:$E,0)-1,MATCH(BU$1,ASISTENCIA!$3:$3,0)-5,1,1)</f>
        <v>#N/A</v>
      </c>
      <c r="BV44" s="215" t="str">
        <f>OFFSET(ASISTENCIA!$E$1,MATCH($G44,ASISTENCIA!$E:$E,0)-1,MATCH(BV$1,ASISTENCIA!$3:$3,0)-5,1,1)</f>
        <v>#N/A</v>
      </c>
      <c r="BW44" s="55"/>
      <c r="BX44" s="55"/>
      <c r="BY44" s="55"/>
    </row>
    <row r="45">
      <c r="A45" s="123">
        <f t="shared" si="22"/>
        <v>42</v>
      </c>
      <c r="B45" s="127"/>
      <c r="C45" s="128"/>
      <c r="D45" s="128"/>
      <c r="E45" s="127"/>
      <c r="F45" s="127"/>
      <c r="G45" s="128"/>
      <c r="H45" s="128"/>
      <c r="I45" s="129"/>
      <c r="J45" s="129" t="str">
        <f>DEVO!F46</f>
        <v/>
      </c>
      <c r="K45" s="129" t="str">
        <f t="shared" si="1"/>
        <v/>
      </c>
      <c r="L45" s="131" t="str">
        <f>IF(TODAY()&gt;=$O$1-6,SUM(OFFSET(ASISTENCIA!$E$1,MATCH($G45,ASISTENCIA!$E:$E,0)-1,MATCH(L$1,ASISTENCIA!$3:$3,0)-5,1,1)),"")</f>
        <v>#N/A</v>
      </c>
      <c r="M45" s="131" t="str">
        <f>OFFSET(ASISTENCIA!$E$1,MATCH($G45,ASISTENCIA!$E:$E,0)-1,MATCH(M$1,ASISTENCIA!$3:$3,0)-5,1,1)</f>
        <v>#N/A</v>
      </c>
      <c r="N45" s="131" t="str">
        <f>OFFSET(ASISTENCIA!$E$1,MATCH($G45,ASISTENCIA!$E:$E,0)-1,MATCH(N$1,ASISTENCIA!$3:$3,0)-5,1,1)</f>
        <v>#N/A</v>
      </c>
      <c r="O45" s="136" t="str">
        <f>IF(TODAY()&gt;=$O$1-6,SUM(OFFSET(DEVO!$F$1,MATCH($G45,DEVO!$E:$E,0)-1,MATCH(L$1,DEVO!$1:$1,0)-6,1,7)),"")</f>
        <v>#N/A</v>
      </c>
      <c r="P45" s="131" t="str">
        <f>IF(TODAY()&gt;=$S$1-6,SUM(OFFSET(ASISTENCIA!$E$1,MATCH($G45,ASISTENCIA!$E:$E,0)-1,MATCH(P$1,ASISTENCIA!$3:$3,0)-5,1,1)),"")</f>
        <v>#N/A</v>
      </c>
      <c r="Q45" s="131" t="str">
        <f>OFFSET(ASISTENCIA!$E$1,MATCH($G45,ASISTENCIA!$E:$E,0)-1,MATCH(Q$1,ASISTENCIA!$3:$3,0)-5,1,1)</f>
        <v>#N/A</v>
      </c>
      <c r="R45" s="131" t="str">
        <f>OFFSET(ASISTENCIA!$E$1,MATCH($G45,ASISTENCIA!$E:$E,0)-1,MATCH(R$1,ASISTENCIA!$3:$3,0)-5,1,1)</f>
        <v>#N/A</v>
      </c>
      <c r="S45" s="136" t="str">
        <f>IF(TODAY()&gt;=$S$1-6,SUM(OFFSET(DEVO!$F$1,MATCH($G45,DEVO!$E:$E,0)-1,MATCH(P$1,DEVO!$1:$1,0)-6,1,7)),"")</f>
        <v>#N/A</v>
      </c>
      <c r="T45" s="131" t="str">
        <f>IF(TODAY()&gt;=$W$1-6,SUM(OFFSET(ASISTENCIA!$E$1,MATCH($G45,ASISTENCIA!$E:$E,0)-1,MATCH(T$1,ASISTENCIA!$3:$3,0)-5,1,1)),"")</f>
        <v>#N/A</v>
      </c>
      <c r="U45" s="131" t="str">
        <f>OFFSET(ASISTENCIA!$E$1,MATCH($G45,ASISTENCIA!$E:$E,0)-1,MATCH(U$1,ASISTENCIA!$3:$3,0)-5,1,1)</f>
        <v>#N/A</v>
      </c>
      <c r="V45" s="131" t="str">
        <f>OFFSET(ASISTENCIA!$E$1,MATCH($G45,ASISTENCIA!$E:$E,0)-1,MATCH(V$1,ASISTENCIA!$3:$3,0)-5,1,1)</f>
        <v>#N/A</v>
      </c>
      <c r="W45" s="136" t="str">
        <f>IF(TODAY()&gt;=$W$1-6,SUM(OFFSET(DEVO!$F$1,MATCH($G45,DEVO!$E:$E,0)-1,MATCH(T$1,DEVO!$1:$1,0)-6,1,7)),"")</f>
        <v>#N/A</v>
      </c>
      <c r="X45" s="131" t="str">
        <f>IF(TODAY()&gt;=$AA$1-6,SUM(OFFSET(ASISTENCIA!$E$1,MATCH($G45,ASISTENCIA!$E:$E,0)-1,MATCH(X$1,ASISTENCIA!$3:$3,0)-5,1,1)),"")</f>
        <v>#N/A</v>
      </c>
      <c r="Y45" s="131" t="str">
        <f>OFFSET(ASISTENCIA!$E$1,MATCH($G45,ASISTENCIA!$E:$E,0)-1,MATCH(Y$1,ASISTENCIA!$3:$3,0)-5,1,1)</f>
        <v>#N/A</v>
      </c>
      <c r="Z45" s="131" t="str">
        <f>OFFSET(ASISTENCIA!$E$1,MATCH($G45,ASISTENCIA!$E:$E,0)-1,MATCH(Z$1,ASISTENCIA!$3:$3,0)-5,1,1)</f>
        <v>#N/A</v>
      </c>
      <c r="AA45" s="136" t="str">
        <f>IF(TODAY()&gt;=$AA$1-6,SUM(OFFSET(DEVO!$F$1,MATCH($G45,DEVO!$E:$E,0)-1,MATCH(X$1,DEVO!$1:$1,0)-6,1,7)),"")</f>
        <v>#N/A</v>
      </c>
      <c r="AB45" s="131" t="str">
        <f>IF(TODAY()&gt;=$AE$1-6,SUM(OFFSET(ASISTENCIA!$E$1,MATCH($G45,ASISTENCIA!$E:$E,0)-1,MATCH(AB$1,ASISTENCIA!$3:$3,0)-5,1,1)),"")</f>
        <v>#N/A</v>
      </c>
      <c r="AC45" s="131" t="str">
        <f>OFFSET(ASISTENCIA!$E$1,MATCH($G45,ASISTENCIA!$E:$E,0)-1,MATCH(AC$1,ASISTENCIA!$3:$3,0)-5,1,1)</f>
        <v>#N/A</v>
      </c>
      <c r="AD45" s="131" t="str">
        <f>OFFSET(ASISTENCIA!$E$1,MATCH($G45,ASISTENCIA!$E:$E,0)-1,MATCH(AD$1,ASISTENCIA!$3:$3,0)-5,1,1)</f>
        <v>#N/A</v>
      </c>
      <c r="AE45" s="136" t="str">
        <f>IF(TODAY()&gt;=$AE$1-6,SUM(OFFSET(DEVO!$F$1,MATCH($G45,DEVO!$E:$E,0)-1,MATCH(AB$1,DEVO!$1:$1,0)-6,1,7)),"")</f>
        <v>#N/A</v>
      </c>
      <c r="AF45" s="131" t="str">
        <f>IF(TODAY()&gt;=$AI$1-6,SUM(OFFSET(ASISTENCIA!$E$1,MATCH($G45,ASISTENCIA!$E:$E,0)-1,MATCH(AF$1,ASISTENCIA!$3:$3,0)-5,1,1)),"")</f>
        <v>#N/A</v>
      </c>
      <c r="AG45" s="131" t="str">
        <f>OFFSET(ASISTENCIA!$E$1,MATCH($G45,ASISTENCIA!$E:$E,0)-1,MATCH(AG$1,ASISTENCIA!$3:$3,0)-5,1,1)</f>
        <v>#N/A</v>
      </c>
      <c r="AH45" s="131" t="str">
        <f>OFFSET(ASISTENCIA!$E$1,MATCH($G45,ASISTENCIA!$E:$E,0)-1,MATCH(AH$1,ASISTENCIA!$3:$3,0)-5,1,1)</f>
        <v>#N/A</v>
      </c>
      <c r="AI45" s="136" t="str">
        <f>IF(TODAY()&gt;=$AI$1-6,SUM(OFFSET(DEVO!$F$1,MATCH($G45,DEVO!$E:$E,0)-1,MATCH(AF$1,DEVO!$1:$1,0)-6,1,7)),"")</f>
        <v>#N/A</v>
      </c>
      <c r="AJ45" s="131" t="str">
        <f>IF(TODAY()&gt;=$AM$1-6,SUM(OFFSET(ASISTENCIA!$E$1,MATCH($G45,ASISTENCIA!$E:$E,0)-1,MATCH(AJ$1,ASISTENCIA!$3:$3,0)-5,1,1)),"")</f>
        <v>#N/A</v>
      </c>
      <c r="AK45" s="131" t="str">
        <f>OFFSET(ASISTENCIA!$E$1,MATCH($G45,ASISTENCIA!$E:$E,0)-1,MATCH(AK$1,ASISTENCIA!$3:$3,0)-5,1,1)</f>
        <v>#N/A</v>
      </c>
      <c r="AL45" s="131" t="str">
        <f>OFFSET(ASISTENCIA!$E$1,MATCH($G45,ASISTENCIA!$E:$E,0)-1,MATCH(AL$1,ASISTENCIA!$3:$3,0)-5,1,1)</f>
        <v>#N/A</v>
      </c>
      <c r="AM45" s="136" t="str">
        <f>IF(TODAY()&gt;=$AM$1-6,SUM(OFFSET(DEVO!$F$1,MATCH($G45,DEVO!$E:$E,0)-1,MATCH(AJ$1,DEVO!$1:$1,0)-6,1,7)),"")</f>
        <v>#N/A</v>
      </c>
      <c r="AN45" s="131" t="str">
        <f>IF(TODAY()&gt;=$AQ$1-6,SUM(OFFSET(ASISTENCIA!$E$1,MATCH($G45,ASISTENCIA!$E:$E,0)-1,MATCH(AN$1,ASISTENCIA!$3:$3,0)-5,1,1)),"")</f>
        <v>#N/A</v>
      </c>
      <c r="AO45" s="131" t="str">
        <f>OFFSET(ASISTENCIA!$E$1,MATCH($G45,ASISTENCIA!$E:$E,0)-1,MATCH(AO$1,ASISTENCIA!$3:$3,0)-5,1,1)</f>
        <v>#N/A</v>
      </c>
      <c r="AP45" s="131" t="str">
        <f>OFFSET(ASISTENCIA!$E$1,MATCH($G45,ASISTENCIA!$E:$E,0)-1,MATCH(AP$1,ASISTENCIA!$3:$3,0)-5,1,1)</f>
        <v>#N/A</v>
      </c>
      <c r="AQ45" s="136" t="str">
        <f>IF(TODAY()&gt;=$AQ$1-6,SUM(OFFSET(DEVO!$F$1,MATCH($G45,DEVO!$E:$E,0)-1,MATCH(AN$1,DEVO!$1:$1,0)-6,1,7)),"")</f>
        <v>#N/A</v>
      </c>
      <c r="AR45" s="131" t="str">
        <f>IF(TODAY()&gt;=$AU$1-6,SUM(OFFSET(ASISTENCIA!$E$1,MATCH($G45,ASISTENCIA!$E:$E,0)-1,MATCH(AR$1,ASISTENCIA!$3:$3,0)-5,1,1)),"")</f>
        <v>#N/A</v>
      </c>
      <c r="AS45" s="131" t="str">
        <f>OFFSET(ASISTENCIA!$E$1,MATCH($G45,ASISTENCIA!$E:$E,0)-1,MATCH(AS$1,ASISTENCIA!$3:$3,0)-5,1,1)</f>
        <v>#N/A</v>
      </c>
      <c r="AT45" s="131" t="str">
        <f>OFFSET(ASISTENCIA!$E$1,MATCH($G45,ASISTENCIA!$E:$E,0)-1,MATCH(AT$1,ASISTENCIA!$3:$3,0)-5,1,1)</f>
        <v>#N/A</v>
      </c>
      <c r="AU45" s="136" t="str">
        <f>IF(TODAY()&gt;=$AU$1-6,SUM(OFFSET(DEVO!$F$1,MATCH($G45,DEVO!$E:$E,0)-1,MATCH(AR$1,DEVO!$1:$1,0)-6,1,7)),"")</f>
        <v>#N/A</v>
      </c>
      <c r="AV45" s="131" t="str">
        <f>OFFSET(ASISTENCIA!$E$1,MATCH($G45,ASISTENCIA!$E:$E,0)-1,MATCH(AV$1,ASISTENCIA!$3:$3,0)-5,1,1)</f>
        <v>#N/A</v>
      </c>
      <c r="AW45" s="131" t="str">
        <f>OFFSET(ASISTENCIA!$E$1,MATCH($G45,ASISTENCIA!$E:$E,0)-1,MATCH(AW$1,ASISTENCIA!$3:$3,0)-5,1,1)</f>
        <v>#N/A</v>
      </c>
      <c r="AY45" s="173">
        <f t="shared" si="2"/>
        <v>0</v>
      </c>
      <c r="AZ45" s="174">
        <f t="shared" si="3"/>
        <v>0</v>
      </c>
      <c r="BA45" s="174">
        <f t="shared" si="4"/>
        <v>0</v>
      </c>
      <c r="BB45" s="174">
        <f t="shared" si="5"/>
        <v>0</v>
      </c>
      <c r="BC45" s="174">
        <f t="shared" si="6"/>
        <v>0</v>
      </c>
      <c r="BD45" s="174">
        <f t="shared" si="7"/>
        <v>0</v>
      </c>
      <c r="BE45" s="174">
        <f t="shared" si="8"/>
        <v>0</v>
      </c>
      <c r="BF45" s="174">
        <f t="shared" si="9"/>
        <v>0</v>
      </c>
      <c r="BG45" s="174">
        <f t="shared" si="10"/>
        <v>0</v>
      </c>
      <c r="BH45" s="152">
        <f t="shared" si="11"/>
        <v>0</v>
      </c>
      <c r="BI45" s="153" t="str">
        <f t="shared" si="12"/>
        <v>OBSERVADOS</v>
      </c>
      <c r="BJ45" s="175" t="str">
        <f t="shared" si="13"/>
        <v>#N/A</v>
      </c>
      <c r="BK45" s="176" t="str">
        <f t="shared" si="14"/>
        <v>#N/A</v>
      </c>
      <c r="BL45" s="176" t="str">
        <f t="shared" si="15"/>
        <v>#N/A</v>
      </c>
      <c r="BM45" s="176" t="str">
        <f t="shared" si="16"/>
        <v>#N/A</v>
      </c>
      <c r="BN45" s="176" t="str">
        <f t="shared" si="17"/>
        <v>#N/A</v>
      </c>
      <c r="BO45" s="176" t="str">
        <f t="shared" si="18"/>
        <v>#N/A</v>
      </c>
      <c r="BP45" s="176" t="str">
        <f t="shared" si="19"/>
        <v>#N/A</v>
      </c>
      <c r="BQ45" s="176" t="str">
        <f t="shared" si="20"/>
        <v>#N/A</v>
      </c>
      <c r="BR45" s="176" t="str">
        <f t="shared" si="21"/>
        <v>#N/A</v>
      </c>
      <c r="BS45" s="207" t="str">
        <f>OFFSET(ASISTENCIA!$E$1,MATCH($G45,ASISTENCIA!$E:$E,0)-1,MATCH(BS$1,ASISTENCIA!$3:$3,0)-5,1,1)</f>
        <v>#N/A</v>
      </c>
      <c r="BT45" s="207" t="str">
        <f>OFFSET(ASISTENCIA!$E$1,MATCH($G45,ASISTENCIA!$E:$E,0)-1,MATCH(BT$1,ASISTENCIA!$3:$3,0)-5,1,1)</f>
        <v>#N/A</v>
      </c>
      <c r="BU45" s="215" t="str">
        <f>OFFSET(ASISTENCIA!$E$1,MATCH($G45,ASISTENCIA!$E:$E,0)-1,MATCH(BU$1,ASISTENCIA!$3:$3,0)-5,1,1)</f>
        <v>#N/A</v>
      </c>
      <c r="BV45" s="215" t="str">
        <f>OFFSET(ASISTENCIA!$E$1,MATCH($G45,ASISTENCIA!$E:$E,0)-1,MATCH(BV$1,ASISTENCIA!$3:$3,0)-5,1,1)</f>
        <v>#N/A</v>
      </c>
      <c r="BW45" s="55"/>
      <c r="BX45" s="55"/>
      <c r="BY45" s="55"/>
    </row>
    <row r="46">
      <c r="A46" s="123">
        <f t="shared" si="22"/>
        <v>43</v>
      </c>
      <c r="B46" s="127"/>
      <c r="C46" s="128"/>
      <c r="D46" s="128"/>
      <c r="E46" s="127"/>
      <c r="F46" s="127"/>
      <c r="G46" s="128"/>
      <c r="H46" s="128"/>
      <c r="I46" s="129"/>
      <c r="J46" s="129" t="str">
        <f>DEVO!F47</f>
        <v/>
      </c>
      <c r="K46" s="129" t="str">
        <f t="shared" si="1"/>
        <v/>
      </c>
      <c r="L46" s="131" t="str">
        <f>IF(TODAY()&gt;=$O$1-6,SUM(OFFSET(ASISTENCIA!$E$1,MATCH($G46,ASISTENCIA!$E:$E,0)-1,MATCH(L$1,ASISTENCIA!$3:$3,0)-5,1,1)),"")</f>
        <v>#N/A</v>
      </c>
      <c r="M46" s="131" t="str">
        <f>OFFSET(ASISTENCIA!$E$1,MATCH($G46,ASISTENCIA!$E:$E,0)-1,MATCH(M$1,ASISTENCIA!$3:$3,0)-5,1,1)</f>
        <v>#N/A</v>
      </c>
      <c r="N46" s="131" t="str">
        <f>OFFSET(ASISTENCIA!$E$1,MATCH($G46,ASISTENCIA!$E:$E,0)-1,MATCH(N$1,ASISTENCIA!$3:$3,0)-5,1,1)</f>
        <v>#N/A</v>
      </c>
      <c r="O46" s="136" t="str">
        <f>IF(TODAY()&gt;=$O$1-6,SUM(OFFSET(DEVO!$F$1,MATCH($G46,DEVO!$E:$E,0)-1,MATCH(L$1,DEVO!$1:$1,0)-6,1,7)),"")</f>
        <v>#N/A</v>
      </c>
      <c r="P46" s="131" t="str">
        <f>IF(TODAY()&gt;=$S$1-6,SUM(OFFSET(ASISTENCIA!$E$1,MATCH($G46,ASISTENCIA!$E:$E,0)-1,MATCH(P$1,ASISTENCIA!$3:$3,0)-5,1,1)),"")</f>
        <v>#N/A</v>
      </c>
      <c r="Q46" s="131" t="str">
        <f>OFFSET(ASISTENCIA!$E$1,MATCH($G46,ASISTENCIA!$E:$E,0)-1,MATCH(Q$1,ASISTENCIA!$3:$3,0)-5,1,1)</f>
        <v>#N/A</v>
      </c>
      <c r="R46" s="131" t="str">
        <f>OFFSET(ASISTENCIA!$E$1,MATCH($G46,ASISTENCIA!$E:$E,0)-1,MATCH(R$1,ASISTENCIA!$3:$3,0)-5,1,1)</f>
        <v>#N/A</v>
      </c>
      <c r="S46" s="136" t="str">
        <f>IF(TODAY()&gt;=$S$1-6,SUM(OFFSET(DEVO!$F$1,MATCH($G46,DEVO!$E:$E,0)-1,MATCH(P$1,DEVO!$1:$1,0)-6,1,7)),"")</f>
        <v>#N/A</v>
      </c>
      <c r="T46" s="131" t="str">
        <f>IF(TODAY()&gt;=$W$1-6,SUM(OFFSET(ASISTENCIA!$E$1,MATCH($G46,ASISTENCIA!$E:$E,0)-1,MATCH(T$1,ASISTENCIA!$3:$3,0)-5,1,1)),"")</f>
        <v>#N/A</v>
      </c>
      <c r="U46" s="131" t="str">
        <f>OFFSET(ASISTENCIA!$E$1,MATCH($G46,ASISTENCIA!$E:$E,0)-1,MATCH(U$1,ASISTENCIA!$3:$3,0)-5,1,1)</f>
        <v>#N/A</v>
      </c>
      <c r="V46" s="131" t="str">
        <f>OFFSET(ASISTENCIA!$E$1,MATCH($G46,ASISTENCIA!$E:$E,0)-1,MATCH(V$1,ASISTENCIA!$3:$3,0)-5,1,1)</f>
        <v>#N/A</v>
      </c>
      <c r="W46" s="136" t="str">
        <f>IF(TODAY()&gt;=$W$1-6,SUM(OFFSET(DEVO!$F$1,MATCH($G46,DEVO!$E:$E,0)-1,MATCH(T$1,DEVO!$1:$1,0)-6,1,7)),"")</f>
        <v>#N/A</v>
      </c>
      <c r="X46" s="131" t="str">
        <f>IF(TODAY()&gt;=$AA$1-6,SUM(OFFSET(ASISTENCIA!$E$1,MATCH($G46,ASISTENCIA!$E:$E,0)-1,MATCH(X$1,ASISTENCIA!$3:$3,0)-5,1,1)),"")</f>
        <v>#N/A</v>
      </c>
      <c r="Y46" s="131" t="str">
        <f>OFFSET(ASISTENCIA!$E$1,MATCH($G46,ASISTENCIA!$E:$E,0)-1,MATCH(Y$1,ASISTENCIA!$3:$3,0)-5,1,1)</f>
        <v>#N/A</v>
      </c>
      <c r="Z46" s="131" t="str">
        <f>OFFSET(ASISTENCIA!$E$1,MATCH($G46,ASISTENCIA!$E:$E,0)-1,MATCH(Z$1,ASISTENCIA!$3:$3,0)-5,1,1)</f>
        <v>#N/A</v>
      </c>
      <c r="AA46" s="136" t="str">
        <f>IF(TODAY()&gt;=$AA$1-6,SUM(OFFSET(DEVO!$F$1,MATCH($G46,DEVO!$E:$E,0)-1,MATCH(X$1,DEVO!$1:$1,0)-6,1,7)),"")</f>
        <v>#N/A</v>
      </c>
      <c r="AB46" s="131" t="str">
        <f>IF(TODAY()&gt;=$AE$1-6,SUM(OFFSET(ASISTENCIA!$E$1,MATCH($G46,ASISTENCIA!$E:$E,0)-1,MATCH(AB$1,ASISTENCIA!$3:$3,0)-5,1,1)),"")</f>
        <v>#N/A</v>
      </c>
      <c r="AC46" s="131" t="str">
        <f>OFFSET(ASISTENCIA!$E$1,MATCH($G46,ASISTENCIA!$E:$E,0)-1,MATCH(AC$1,ASISTENCIA!$3:$3,0)-5,1,1)</f>
        <v>#N/A</v>
      </c>
      <c r="AD46" s="131" t="str">
        <f>OFFSET(ASISTENCIA!$E$1,MATCH($G46,ASISTENCIA!$E:$E,0)-1,MATCH(AD$1,ASISTENCIA!$3:$3,0)-5,1,1)</f>
        <v>#N/A</v>
      </c>
      <c r="AE46" s="136" t="str">
        <f>IF(TODAY()&gt;=$AE$1-6,SUM(OFFSET(DEVO!$F$1,MATCH($G46,DEVO!$E:$E,0)-1,MATCH(AB$1,DEVO!$1:$1,0)-6,1,7)),"")</f>
        <v>#N/A</v>
      </c>
      <c r="AF46" s="131" t="str">
        <f>IF(TODAY()&gt;=$AI$1-6,SUM(OFFSET(ASISTENCIA!$E$1,MATCH($G46,ASISTENCIA!$E:$E,0)-1,MATCH(AF$1,ASISTENCIA!$3:$3,0)-5,1,1)),"")</f>
        <v>#N/A</v>
      </c>
      <c r="AG46" s="131" t="str">
        <f>OFFSET(ASISTENCIA!$E$1,MATCH($G46,ASISTENCIA!$E:$E,0)-1,MATCH(AG$1,ASISTENCIA!$3:$3,0)-5,1,1)</f>
        <v>#N/A</v>
      </c>
      <c r="AH46" s="131" t="str">
        <f>OFFSET(ASISTENCIA!$E$1,MATCH($G46,ASISTENCIA!$E:$E,0)-1,MATCH(AH$1,ASISTENCIA!$3:$3,0)-5,1,1)</f>
        <v>#N/A</v>
      </c>
      <c r="AI46" s="136" t="str">
        <f>IF(TODAY()&gt;=$AI$1-6,SUM(OFFSET(DEVO!$F$1,MATCH($G46,DEVO!$E:$E,0)-1,MATCH(AF$1,DEVO!$1:$1,0)-6,1,7)),"")</f>
        <v>#N/A</v>
      </c>
      <c r="AJ46" s="131" t="str">
        <f>IF(TODAY()&gt;=$AM$1-6,SUM(OFFSET(ASISTENCIA!$E$1,MATCH($G46,ASISTENCIA!$E:$E,0)-1,MATCH(AJ$1,ASISTENCIA!$3:$3,0)-5,1,1)),"")</f>
        <v>#N/A</v>
      </c>
      <c r="AK46" s="131" t="str">
        <f>OFFSET(ASISTENCIA!$E$1,MATCH($G46,ASISTENCIA!$E:$E,0)-1,MATCH(AK$1,ASISTENCIA!$3:$3,0)-5,1,1)</f>
        <v>#N/A</v>
      </c>
      <c r="AL46" s="131" t="str">
        <f>OFFSET(ASISTENCIA!$E$1,MATCH($G46,ASISTENCIA!$E:$E,0)-1,MATCH(AL$1,ASISTENCIA!$3:$3,0)-5,1,1)</f>
        <v>#N/A</v>
      </c>
      <c r="AM46" s="136" t="str">
        <f>IF(TODAY()&gt;=$AM$1-6,SUM(OFFSET(DEVO!$F$1,MATCH($G46,DEVO!$E:$E,0)-1,MATCH(AJ$1,DEVO!$1:$1,0)-6,1,7)),"")</f>
        <v>#N/A</v>
      </c>
      <c r="AN46" s="131" t="str">
        <f>IF(TODAY()&gt;=$AQ$1-6,SUM(OFFSET(ASISTENCIA!$E$1,MATCH($G46,ASISTENCIA!$E:$E,0)-1,MATCH(AN$1,ASISTENCIA!$3:$3,0)-5,1,1)),"")</f>
        <v>#N/A</v>
      </c>
      <c r="AO46" s="131" t="str">
        <f>OFFSET(ASISTENCIA!$E$1,MATCH($G46,ASISTENCIA!$E:$E,0)-1,MATCH(AO$1,ASISTENCIA!$3:$3,0)-5,1,1)</f>
        <v>#N/A</v>
      </c>
      <c r="AP46" s="131" t="str">
        <f>OFFSET(ASISTENCIA!$E$1,MATCH($G46,ASISTENCIA!$E:$E,0)-1,MATCH(AP$1,ASISTENCIA!$3:$3,0)-5,1,1)</f>
        <v>#N/A</v>
      </c>
      <c r="AQ46" s="136" t="str">
        <f>IF(TODAY()&gt;=$AQ$1-6,SUM(OFFSET(DEVO!$F$1,MATCH($G46,DEVO!$E:$E,0)-1,MATCH(AN$1,DEVO!$1:$1,0)-6,1,7)),"")</f>
        <v>#N/A</v>
      </c>
      <c r="AR46" s="131" t="str">
        <f>IF(TODAY()&gt;=$AU$1-6,SUM(OFFSET(ASISTENCIA!$E$1,MATCH($G46,ASISTENCIA!$E:$E,0)-1,MATCH(AR$1,ASISTENCIA!$3:$3,0)-5,1,1)),"")</f>
        <v>#N/A</v>
      </c>
      <c r="AS46" s="131" t="str">
        <f>OFFSET(ASISTENCIA!$E$1,MATCH($G46,ASISTENCIA!$E:$E,0)-1,MATCH(AS$1,ASISTENCIA!$3:$3,0)-5,1,1)</f>
        <v>#N/A</v>
      </c>
      <c r="AT46" s="131" t="str">
        <f>OFFSET(ASISTENCIA!$E$1,MATCH($G46,ASISTENCIA!$E:$E,0)-1,MATCH(AT$1,ASISTENCIA!$3:$3,0)-5,1,1)</f>
        <v>#N/A</v>
      </c>
      <c r="AU46" s="136" t="str">
        <f>IF(TODAY()&gt;=$AU$1-6,SUM(OFFSET(DEVO!$F$1,MATCH($G46,DEVO!$E:$E,0)-1,MATCH(AR$1,DEVO!$1:$1,0)-6,1,7)),"")</f>
        <v>#N/A</v>
      </c>
      <c r="AV46" s="131" t="str">
        <f>OFFSET(ASISTENCIA!$E$1,MATCH($G46,ASISTENCIA!$E:$E,0)-1,MATCH(AV$1,ASISTENCIA!$3:$3,0)-5,1,1)</f>
        <v>#N/A</v>
      </c>
      <c r="AW46" s="131" t="str">
        <f>OFFSET(ASISTENCIA!$E$1,MATCH($G46,ASISTENCIA!$E:$E,0)-1,MATCH(AW$1,ASISTENCIA!$3:$3,0)-5,1,1)</f>
        <v>#N/A</v>
      </c>
      <c r="AY46" s="173">
        <f t="shared" si="2"/>
        <v>0</v>
      </c>
      <c r="AZ46" s="174">
        <f t="shared" si="3"/>
        <v>0</v>
      </c>
      <c r="BA46" s="174">
        <f t="shared" si="4"/>
        <v>0</v>
      </c>
      <c r="BB46" s="174">
        <f t="shared" si="5"/>
        <v>0</v>
      </c>
      <c r="BC46" s="174">
        <f t="shared" si="6"/>
        <v>0</v>
      </c>
      <c r="BD46" s="174">
        <f t="shared" si="7"/>
        <v>0</v>
      </c>
      <c r="BE46" s="174">
        <f t="shared" si="8"/>
        <v>0</v>
      </c>
      <c r="BF46" s="174">
        <f t="shared" si="9"/>
        <v>0</v>
      </c>
      <c r="BG46" s="174">
        <f t="shared" si="10"/>
        <v>0</v>
      </c>
      <c r="BH46" s="152">
        <f t="shared" si="11"/>
        <v>0</v>
      </c>
      <c r="BI46" s="153" t="str">
        <f t="shared" si="12"/>
        <v>OBSERVADOS</v>
      </c>
      <c r="BJ46" s="175" t="str">
        <f t="shared" si="13"/>
        <v>#N/A</v>
      </c>
      <c r="BK46" s="176" t="str">
        <f t="shared" si="14"/>
        <v>#N/A</v>
      </c>
      <c r="BL46" s="176" t="str">
        <f t="shared" si="15"/>
        <v>#N/A</v>
      </c>
      <c r="BM46" s="176" t="str">
        <f t="shared" si="16"/>
        <v>#N/A</v>
      </c>
      <c r="BN46" s="176" t="str">
        <f t="shared" si="17"/>
        <v>#N/A</v>
      </c>
      <c r="BO46" s="176" t="str">
        <f t="shared" si="18"/>
        <v>#N/A</v>
      </c>
      <c r="BP46" s="176" t="str">
        <f t="shared" si="19"/>
        <v>#N/A</v>
      </c>
      <c r="BQ46" s="176" t="str">
        <f t="shared" si="20"/>
        <v>#N/A</v>
      </c>
      <c r="BR46" s="176" t="str">
        <f t="shared" si="21"/>
        <v>#N/A</v>
      </c>
      <c r="BS46" s="207" t="str">
        <f>OFFSET(ASISTENCIA!$E$1,MATCH($G46,ASISTENCIA!$E:$E,0)-1,MATCH(BS$1,ASISTENCIA!$3:$3,0)-5,1,1)</f>
        <v>#N/A</v>
      </c>
      <c r="BT46" s="207" t="str">
        <f>OFFSET(ASISTENCIA!$E$1,MATCH($G46,ASISTENCIA!$E:$E,0)-1,MATCH(BT$1,ASISTENCIA!$3:$3,0)-5,1,1)</f>
        <v>#N/A</v>
      </c>
      <c r="BU46" s="215" t="str">
        <f>OFFSET(ASISTENCIA!$E$1,MATCH($G46,ASISTENCIA!$E:$E,0)-1,MATCH(BU$1,ASISTENCIA!$3:$3,0)-5,1,1)</f>
        <v>#N/A</v>
      </c>
      <c r="BV46" s="215" t="str">
        <f>OFFSET(ASISTENCIA!$E$1,MATCH($G46,ASISTENCIA!$E:$E,0)-1,MATCH(BV$1,ASISTENCIA!$3:$3,0)-5,1,1)</f>
        <v>#N/A</v>
      </c>
      <c r="BW46" s="55"/>
      <c r="BX46" s="55"/>
      <c r="BY46" s="55"/>
    </row>
    <row r="47">
      <c r="A47" s="123">
        <f t="shared" si="22"/>
        <v>44</v>
      </c>
      <c r="B47" s="127"/>
      <c r="C47" s="128"/>
      <c r="D47" s="128"/>
      <c r="E47" s="127"/>
      <c r="F47" s="127"/>
      <c r="G47" s="128"/>
      <c r="H47" s="128"/>
      <c r="I47" s="129"/>
      <c r="J47" s="129" t="str">
        <f>DEVO!F48</f>
        <v/>
      </c>
      <c r="K47" s="129" t="str">
        <f t="shared" si="1"/>
        <v/>
      </c>
      <c r="L47" s="131" t="str">
        <f>IF(TODAY()&gt;=$O$1-6,SUM(OFFSET(ASISTENCIA!$E$1,MATCH($G47,ASISTENCIA!$E:$E,0)-1,MATCH(L$1,ASISTENCIA!$3:$3,0)-5,1,1)),"")</f>
        <v>#N/A</v>
      </c>
      <c r="M47" s="131" t="str">
        <f>OFFSET(ASISTENCIA!$E$1,MATCH($G47,ASISTENCIA!$E:$E,0)-1,MATCH(M$1,ASISTENCIA!$3:$3,0)-5,1,1)</f>
        <v>#N/A</v>
      </c>
      <c r="N47" s="131" t="str">
        <f>OFFSET(ASISTENCIA!$E$1,MATCH($G47,ASISTENCIA!$E:$E,0)-1,MATCH(N$1,ASISTENCIA!$3:$3,0)-5,1,1)</f>
        <v>#N/A</v>
      </c>
      <c r="O47" s="136" t="str">
        <f>IF(TODAY()&gt;=$O$1-6,SUM(OFFSET(DEVO!$F$1,MATCH($G47,DEVO!$E:$E,0)-1,MATCH(L$1,DEVO!$1:$1,0)-6,1,7)),"")</f>
        <v>#N/A</v>
      </c>
      <c r="P47" s="131" t="str">
        <f>IF(TODAY()&gt;=$S$1-6,SUM(OFFSET(ASISTENCIA!$E$1,MATCH($G47,ASISTENCIA!$E:$E,0)-1,MATCH(P$1,ASISTENCIA!$3:$3,0)-5,1,1)),"")</f>
        <v>#N/A</v>
      </c>
      <c r="Q47" s="131" t="str">
        <f>OFFSET(ASISTENCIA!$E$1,MATCH($G47,ASISTENCIA!$E:$E,0)-1,MATCH(Q$1,ASISTENCIA!$3:$3,0)-5,1,1)</f>
        <v>#N/A</v>
      </c>
      <c r="R47" s="131" t="str">
        <f>OFFSET(ASISTENCIA!$E$1,MATCH($G47,ASISTENCIA!$E:$E,0)-1,MATCH(R$1,ASISTENCIA!$3:$3,0)-5,1,1)</f>
        <v>#N/A</v>
      </c>
      <c r="S47" s="136" t="str">
        <f>IF(TODAY()&gt;=$S$1-6,SUM(OFFSET(DEVO!$F$1,MATCH($G47,DEVO!$E:$E,0)-1,MATCH(P$1,DEVO!$1:$1,0)-6,1,7)),"")</f>
        <v>#N/A</v>
      </c>
      <c r="T47" s="131" t="str">
        <f>IF(TODAY()&gt;=$W$1-6,SUM(OFFSET(ASISTENCIA!$E$1,MATCH($G47,ASISTENCIA!$E:$E,0)-1,MATCH(T$1,ASISTENCIA!$3:$3,0)-5,1,1)),"")</f>
        <v>#N/A</v>
      </c>
      <c r="U47" s="131" t="str">
        <f>OFFSET(ASISTENCIA!$E$1,MATCH($G47,ASISTENCIA!$E:$E,0)-1,MATCH(U$1,ASISTENCIA!$3:$3,0)-5,1,1)</f>
        <v>#N/A</v>
      </c>
      <c r="V47" s="131" t="str">
        <f>OFFSET(ASISTENCIA!$E$1,MATCH($G47,ASISTENCIA!$E:$E,0)-1,MATCH(V$1,ASISTENCIA!$3:$3,0)-5,1,1)</f>
        <v>#N/A</v>
      </c>
      <c r="W47" s="136" t="str">
        <f>IF(TODAY()&gt;=$W$1-6,SUM(OFFSET(DEVO!$F$1,MATCH($G47,DEVO!$E:$E,0)-1,MATCH(T$1,DEVO!$1:$1,0)-6,1,7)),"")</f>
        <v>#N/A</v>
      </c>
      <c r="X47" s="131" t="str">
        <f>IF(TODAY()&gt;=$AA$1-6,SUM(OFFSET(ASISTENCIA!$E$1,MATCH($G47,ASISTENCIA!$E:$E,0)-1,MATCH(X$1,ASISTENCIA!$3:$3,0)-5,1,1)),"")</f>
        <v>#N/A</v>
      </c>
      <c r="Y47" s="131" t="str">
        <f>OFFSET(ASISTENCIA!$E$1,MATCH($G47,ASISTENCIA!$E:$E,0)-1,MATCH(Y$1,ASISTENCIA!$3:$3,0)-5,1,1)</f>
        <v>#N/A</v>
      </c>
      <c r="Z47" s="131" t="str">
        <f>OFFSET(ASISTENCIA!$E$1,MATCH($G47,ASISTENCIA!$E:$E,0)-1,MATCH(Z$1,ASISTENCIA!$3:$3,0)-5,1,1)</f>
        <v>#N/A</v>
      </c>
      <c r="AA47" s="136" t="str">
        <f>IF(TODAY()&gt;=$AA$1-6,SUM(OFFSET(DEVO!$F$1,MATCH($G47,DEVO!$E:$E,0)-1,MATCH(X$1,DEVO!$1:$1,0)-6,1,7)),"")</f>
        <v>#N/A</v>
      </c>
      <c r="AB47" s="131" t="str">
        <f>IF(TODAY()&gt;=$AE$1-6,SUM(OFFSET(ASISTENCIA!$E$1,MATCH($G47,ASISTENCIA!$E:$E,0)-1,MATCH(AB$1,ASISTENCIA!$3:$3,0)-5,1,1)),"")</f>
        <v>#N/A</v>
      </c>
      <c r="AC47" s="131" t="str">
        <f>OFFSET(ASISTENCIA!$E$1,MATCH($G47,ASISTENCIA!$E:$E,0)-1,MATCH(AC$1,ASISTENCIA!$3:$3,0)-5,1,1)</f>
        <v>#N/A</v>
      </c>
      <c r="AD47" s="131" t="str">
        <f>OFFSET(ASISTENCIA!$E$1,MATCH($G47,ASISTENCIA!$E:$E,0)-1,MATCH(AD$1,ASISTENCIA!$3:$3,0)-5,1,1)</f>
        <v>#N/A</v>
      </c>
      <c r="AE47" s="136" t="str">
        <f>IF(TODAY()&gt;=$AE$1-6,SUM(OFFSET(DEVO!$F$1,MATCH($G47,DEVO!$E:$E,0)-1,MATCH(AB$1,DEVO!$1:$1,0)-6,1,7)),"")</f>
        <v>#N/A</v>
      </c>
      <c r="AF47" s="131" t="str">
        <f>IF(TODAY()&gt;=$AI$1-6,SUM(OFFSET(ASISTENCIA!$E$1,MATCH($G47,ASISTENCIA!$E:$E,0)-1,MATCH(AF$1,ASISTENCIA!$3:$3,0)-5,1,1)),"")</f>
        <v>#N/A</v>
      </c>
      <c r="AG47" s="131" t="str">
        <f>OFFSET(ASISTENCIA!$E$1,MATCH($G47,ASISTENCIA!$E:$E,0)-1,MATCH(AG$1,ASISTENCIA!$3:$3,0)-5,1,1)</f>
        <v>#N/A</v>
      </c>
      <c r="AH47" s="131" t="str">
        <f>OFFSET(ASISTENCIA!$E$1,MATCH($G47,ASISTENCIA!$E:$E,0)-1,MATCH(AH$1,ASISTENCIA!$3:$3,0)-5,1,1)</f>
        <v>#N/A</v>
      </c>
      <c r="AI47" s="136" t="str">
        <f>IF(TODAY()&gt;=$AI$1-6,SUM(OFFSET(DEVO!$F$1,MATCH($G47,DEVO!$E:$E,0)-1,MATCH(AF$1,DEVO!$1:$1,0)-6,1,7)),"")</f>
        <v>#N/A</v>
      </c>
      <c r="AJ47" s="131" t="str">
        <f>IF(TODAY()&gt;=$AM$1-6,SUM(OFFSET(ASISTENCIA!$E$1,MATCH($G47,ASISTENCIA!$E:$E,0)-1,MATCH(AJ$1,ASISTENCIA!$3:$3,0)-5,1,1)),"")</f>
        <v>#N/A</v>
      </c>
      <c r="AK47" s="131" t="str">
        <f>OFFSET(ASISTENCIA!$E$1,MATCH($G47,ASISTENCIA!$E:$E,0)-1,MATCH(AK$1,ASISTENCIA!$3:$3,0)-5,1,1)</f>
        <v>#N/A</v>
      </c>
      <c r="AL47" s="131" t="str">
        <f>OFFSET(ASISTENCIA!$E$1,MATCH($G47,ASISTENCIA!$E:$E,0)-1,MATCH(AL$1,ASISTENCIA!$3:$3,0)-5,1,1)</f>
        <v>#N/A</v>
      </c>
      <c r="AM47" s="136" t="str">
        <f>IF(TODAY()&gt;=$AM$1-6,SUM(OFFSET(DEVO!$F$1,MATCH($G47,DEVO!$E:$E,0)-1,MATCH(AJ$1,DEVO!$1:$1,0)-6,1,7)),"")</f>
        <v>#N/A</v>
      </c>
      <c r="AN47" s="131" t="str">
        <f>IF(TODAY()&gt;=$AQ$1-6,SUM(OFFSET(ASISTENCIA!$E$1,MATCH($G47,ASISTENCIA!$E:$E,0)-1,MATCH(AN$1,ASISTENCIA!$3:$3,0)-5,1,1)),"")</f>
        <v>#N/A</v>
      </c>
      <c r="AO47" s="131" t="str">
        <f>OFFSET(ASISTENCIA!$E$1,MATCH($G47,ASISTENCIA!$E:$E,0)-1,MATCH(AO$1,ASISTENCIA!$3:$3,0)-5,1,1)</f>
        <v>#N/A</v>
      </c>
      <c r="AP47" s="131" t="str">
        <f>OFFSET(ASISTENCIA!$E$1,MATCH($G47,ASISTENCIA!$E:$E,0)-1,MATCH(AP$1,ASISTENCIA!$3:$3,0)-5,1,1)</f>
        <v>#N/A</v>
      </c>
      <c r="AQ47" s="136" t="str">
        <f>IF(TODAY()&gt;=$AQ$1-6,SUM(OFFSET(DEVO!$F$1,MATCH($G47,DEVO!$E:$E,0)-1,MATCH(AN$1,DEVO!$1:$1,0)-6,1,7)),"")</f>
        <v>#N/A</v>
      </c>
      <c r="AR47" s="131" t="str">
        <f>IF(TODAY()&gt;=$AU$1-6,SUM(OFFSET(ASISTENCIA!$E$1,MATCH($G47,ASISTENCIA!$E:$E,0)-1,MATCH(AR$1,ASISTENCIA!$3:$3,0)-5,1,1)),"")</f>
        <v>#N/A</v>
      </c>
      <c r="AS47" s="131" t="str">
        <f>OFFSET(ASISTENCIA!$E$1,MATCH($G47,ASISTENCIA!$E:$E,0)-1,MATCH(AS$1,ASISTENCIA!$3:$3,0)-5,1,1)</f>
        <v>#N/A</v>
      </c>
      <c r="AT47" s="131" t="str">
        <f>OFFSET(ASISTENCIA!$E$1,MATCH($G47,ASISTENCIA!$E:$E,0)-1,MATCH(AT$1,ASISTENCIA!$3:$3,0)-5,1,1)</f>
        <v>#N/A</v>
      </c>
      <c r="AU47" s="136" t="str">
        <f>IF(TODAY()&gt;=$AU$1-6,SUM(OFFSET(DEVO!$F$1,MATCH($G47,DEVO!$E:$E,0)-1,MATCH(AR$1,DEVO!$1:$1,0)-6,1,7)),"")</f>
        <v>#N/A</v>
      </c>
      <c r="AV47" s="131" t="str">
        <f>OFFSET(ASISTENCIA!$E$1,MATCH($G47,ASISTENCIA!$E:$E,0)-1,MATCH(AV$1,ASISTENCIA!$3:$3,0)-5,1,1)</f>
        <v>#N/A</v>
      </c>
      <c r="AW47" s="131" t="str">
        <f>OFFSET(ASISTENCIA!$E$1,MATCH($G47,ASISTENCIA!$E:$E,0)-1,MATCH(AW$1,ASISTENCIA!$3:$3,0)-5,1,1)</f>
        <v>#N/A</v>
      </c>
      <c r="AY47" s="173">
        <f t="shared" si="2"/>
        <v>0</v>
      </c>
      <c r="AZ47" s="174">
        <f t="shared" si="3"/>
        <v>0</v>
      </c>
      <c r="BA47" s="174">
        <f t="shared" si="4"/>
        <v>0</v>
      </c>
      <c r="BB47" s="174">
        <f t="shared" si="5"/>
        <v>0</v>
      </c>
      <c r="BC47" s="174">
        <f t="shared" si="6"/>
        <v>0</v>
      </c>
      <c r="BD47" s="174">
        <f t="shared" si="7"/>
        <v>0</v>
      </c>
      <c r="BE47" s="174">
        <f t="shared" si="8"/>
        <v>0</v>
      </c>
      <c r="BF47" s="174">
        <f t="shared" si="9"/>
        <v>0</v>
      </c>
      <c r="BG47" s="174">
        <f t="shared" si="10"/>
        <v>0</v>
      </c>
      <c r="BH47" s="152">
        <f t="shared" si="11"/>
        <v>0</v>
      </c>
      <c r="BI47" s="153" t="str">
        <f t="shared" si="12"/>
        <v>OBSERVADOS</v>
      </c>
      <c r="BJ47" s="175" t="str">
        <f t="shared" si="13"/>
        <v>#N/A</v>
      </c>
      <c r="BK47" s="176" t="str">
        <f t="shared" si="14"/>
        <v>#N/A</v>
      </c>
      <c r="BL47" s="176" t="str">
        <f t="shared" si="15"/>
        <v>#N/A</v>
      </c>
      <c r="BM47" s="176" t="str">
        <f t="shared" si="16"/>
        <v>#N/A</v>
      </c>
      <c r="BN47" s="176" t="str">
        <f t="shared" si="17"/>
        <v>#N/A</v>
      </c>
      <c r="BO47" s="176" t="str">
        <f t="shared" si="18"/>
        <v>#N/A</v>
      </c>
      <c r="BP47" s="176" t="str">
        <f t="shared" si="19"/>
        <v>#N/A</v>
      </c>
      <c r="BQ47" s="176" t="str">
        <f t="shared" si="20"/>
        <v>#N/A</v>
      </c>
      <c r="BR47" s="176" t="str">
        <f t="shared" si="21"/>
        <v>#N/A</v>
      </c>
      <c r="BS47" s="207" t="str">
        <f>OFFSET(ASISTENCIA!$E$1,MATCH($G47,ASISTENCIA!$E:$E,0)-1,MATCH(BS$1,ASISTENCIA!$3:$3,0)-5,1,1)</f>
        <v>#N/A</v>
      </c>
      <c r="BT47" s="207" t="str">
        <f>OFFSET(ASISTENCIA!$E$1,MATCH($G47,ASISTENCIA!$E:$E,0)-1,MATCH(BT$1,ASISTENCIA!$3:$3,0)-5,1,1)</f>
        <v>#N/A</v>
      </c>
      <c r="BU47" s="215" t="str">
        <f>OFFSET(ASISTENCIA!$E$1,MATCH($G47,ASISTENCIA!$E:$E,0)-1,MATCH(BU$1,ASISTENCIA!$3:$3,0)-5,1,1)</f>
        <v>#N/A</v>
      </c>
      <c r="BV47" s="215" t="str">
        <f>OFFSET(ASISTENCIA!$E$1,MATCH($G47,ASISTENCIA!$E:$E,0)-1,MATCH(BV$1,ASISTENCIA!$3:$3,0)-5,1,1)</f>
        <v>#N/A</v>
      </c>
      <c r="BW47" s="55"/>
      <c r="BX47" s="55"/>
      <c r="BY47" s="55"/>
    </row>
    <row r="48">
      <c r="A48" s="123">
        <f t="shared" si="22"/>
        <v>45</v>
      </c>
      <c r="B48" s="127"/>
      <c r="C48" s="128"/>
      <c r="D48" s="128"/>
      <c r="E48" s="127"/>
      <c r="F48" s="127"/>
      <c r="G48" s="128"/>
      <c r="H48" s="128"/>
      <c r="I48" s="129"/>
      <c r="J48" s="129" t="str">
        <f>DEVO!F49</f>
        <v/>
      </c>
      <c r="K48" s="129" t="str">
        <f t="shared" si="1"/>
        <v/>
      </c>
      <c r="L48" s="131" t="str">
        <f>IF(TODAY()&gt;=$O$1-6,SUM(OFFSET(ASISTENCIA!$E$1,MATCH($G48,ASISTENCIA!$E:$E,0)-1,MATCH(L$1,ASISTENCIA!$3:$3,0)-5,1,1)),"")</f>
        <v>#N/A</v>
      </c>
      <c r="M48" s="131" t="str">
        <f>OFFSET(ASISTENCIA!$E$1,MATCH($G48,ASISTENCIA!$E:$E,0)-1,MATCH(M$1,ASISTENCIA!$3:$3,0)-5,1,1)</f>
        <v>#N/A</v>
      </c>
      <c r="N48" s="131" t="str">
        <f>OFFSET(ASISTENCIA!$E$1,MATCH($G48,ASISTENCIA!$E:$E,0)-1,MATCH(N$1,ASISTENCIA!$3:$3,0)-5,1,1)</f>
        <v>#N/A</v>
      </c>
      <c r="O48" s="136" t="str">
        <f>IF(TODAY()&gt;=$O$1-6,SUM(OFFSET(DEVO!$F$1,MATCH($G48,DEVO!$E:$E,0)-1,MATCH(L$1,DEVO!$1:$1,0)-6,1,7)),"")</f>
        <v>#N/A</v>
      </c>
      <c r="P48" s="131" t="str">
        <f>IF(TODAY()&gt;=$S$1-6,SUM(OFFSET(ASISTENCIA!$E$1,MATCH($G48,ASISTENCIA!$E:$E,0)-1,MATCH(P$1,ASISTENCIA!$3:$3,0)-5,1,1)),"")</f>
        <v>#N/A</v>
      </c>
      <c r="Q48" s="131" t="str">
        <f>OFFSET(ASISTENCIA!$E$1,MATCH($G48,ASISTENCIA!$E:$E,0)-1,MATCH(Q$1,ASISTENCIA!$3:$3,0)-5,1,1)</f>
        <v>#N/A</v>
      </c>
      <c r="R48" s="131" t="str">
        <f>OFFSET(ASISTENCIA!$E$1,MATCH($G48,ASISTENCIA!$E:$E,0)-1,MATCH(R$1,ASISTENCIA!$3:$3,0)-5,1,1)</f>
        <v>#N/A</v>
      </c>
      <c r="S48" s="136" t="str">
        <f>IF(TODAY()&gt;=$S$1-6,SUM(OFFSET(DEVO!$F$1,MATCH($G48,DEVO!$E:$E,0)-1,MATCH(P$1,DEVO!$1:$1,0)-6,1,7)),"")</f>
        <v>#N/A</v>
      </c>
      <c r="T48" s="131" t="str">
        <f>IF(TODAY()&gt;=$W$1-6,SUM(OFFSET(ASISTENCIA!$E$1,MATCH($G48,ASISTENCIA!$E:$E,0)-1,MATCH(T$1,ASISTENCIA!$3:$3,0)-5,1,1)),"")</f>
        <v>#N/A</v>
      </c>
      <c r="U48" s="131" t="str">
        <f>OFFSET(ASISTENCIA!$E$1,MATCH($G48,ASISTENCIA!$E:$E,0)-1,MATCH(U$1,ASISTENCIA!$3:$3,0)-5,1,1)</f>
        <v>#N/A</v>
      </c>
      <c r="V48" s="131" t="str">
        <f>OFFSET(ASISTENCIA!$E$1,MATCH($G48,ASISTENCIA!$E:$E,0)-1,MATCH(V$1,ASISTENCIA!$3:$3,0)-5,1,1)</f>
        <v>#N/A</v>
      </c>
      <c r="W48" s="136" t="str">
        <f>IF(TODAY()&gt;=$W$1-6,SUM(OFFSET(DEVO!$F$1,MATCH($G48,DEVO!$E:$E,0)-1,MATCH(T$1,DEVO!$1:$1,0)-6,1,7)),"")</f>
        <v>#N/A</v>
      </c>
      <c r="X48" s="131" t="str">
        <f>IF(TODAY()&gt;=$AA$1-6,SUM(OFFSET(ASISTENCIA!$E$1,MATCH($G48,ASISTENCIA!$E:$E,0)-1,MATCH(X$1,ASISTENCIA!$3:$3,0)-5,1,1)),"")</f>
        <v>#N/A</v>
      </c>
      <c r="Y48" s="131" t="str">
        <f>OFFSET(ASISTENCIA!$E$1,MATCH($G48,ASISTENCIA!$E:$E,0)-1,MATCH(Y$1,ASISTENCIA!$3:$3,0)-5,1,1)</f>
        <v>#N/A</v>
      </c>
      <c r="Z48" s="131" t="str">
        <f>OFFSET(ASISTENCIA!$E$1,MATCH($G48,ASISTENCIA!$E:$E,0)-1,MATCH(Z$1,ASISTENCIA!$3:$3,0)-5,1,1)</f>
        <v>#N/A</v>
      </c>
      <c r="AA48" s="136" t="str">
        <f>IF(TODAY()&gt;=$AA$1-6,SUM(OFFSET(DEVO!$F$1,MATCH($G48,DEVO!$E:$E,0)-1,MATCH(X$1,DEVO!$1:$1,0)-6,1,7)),"")</f>
        <v>#N/A</v>
      </c>
      <c r="AB48" s="131" t="str">
        <f>IF(TODAY()&gt;=$AE$1-6,SUM(OFFSET(ASISTENCIA!$E$1,MATCH($G48,ASISTENCIA!$E:$E,0)-1,MATCH(AB$1,ASISTENCIA!$3:$3,0)-5,1,1)),"")</f>
        <v>#N/A</v>
      </c>
      <c r="AC48" s="131" t="str">
        <f>OFFSET(ASISTENCIA!$E$1,MATCH($G48,ASISTENCIA!$E:$E,0)-1,MATCH(AC$1,ASISTENCIA!$3:$3,0)-5,1,1)</f>
        <v>#N/A</v>
      </c>
      <c r="AD48" s="131" t="str">
        <f>OFFSET(ASISTENCIA!$E$1,MATCH($G48,ASISTENCIA!$E:$E,0)-1,MATCH(AD$1,ASISTENCIA!$3:$3,0)-5,1,1)</f>
        <v>#N/A</v>
      </c>
      <c r="AE48" s="136" t="str">
        <f>IF(TODAY()&gt;=$AE$1-6,SUM(OFFSET(DEVO!$F$1,MATCH($G48,DEVO!$E:$E,0)-1,MATCH(AB$1,DEVO!$1:$1,0)-6,1,7)),"")</f>
        <v>#N/A</v>
      </c>
      <c r="AF48" s="131" t="str">
        <f>IF(TODAY()&gt;=$AI$1-6,SUM(OFFSET(ASISTENCIA!$E$1,MATCH($G48,ASISTENCIA!$E:$E,0)-1,MATCH(AF$1,ASISTENCIA!$3:$3,0)-5,1,1)),"")</f>
        <v>#N/A</v>
      </c>
      <c r="AG48" s="131" t="str">
        <f>OFFSET(ASISTENCIA!$E$1,MATCH($G48,ASISTENCIA!$E:$E,0)-1,MATCH(AG$1,ASISTENCIA!$3:$3,0)-5,1,1)</f>
        <v>#N/A</v>
      </c>
      <c r="AH48" s="131" t="str">
        <f>OFFSET(ASISTENCIA!$E$1,MATCH($G48,ASISTENCIA!$E:$E,0)-1,MATCH(AH$1,ASISTENCIA!$3:$3,0)-5,1,1)</f>
        <v>#N/A</v>
      </c>
      <c r="AI48" s="136" t="str">
        <f>IF(TODAY()&gt;=$AI$1-6,SUM(OFFSET(DEVO!$F$1,MATCH($G48,DEVO!$E:$E,0)-1,MATCH(AF$1,DEVO!$1:$1,0)-6,1,7)),"")</f>
        <v>#N/A</v>
      </c>
      <c r="AJ48" s="131" t="str">
        <f>IF(TODAY()&gt;=$AM$1-6,SUM(OFFSET(ASISTENCIA!$E$1,MATCH($G48,ASISTENCIA!$E:$E,0)-1,MATCH(AJ$1,ASISTENCIA!$3:$3,0)-5,1,1)),"")</f>
        <v>#N/A</v>
      </c>
      <c r="AK48" s="131" t="str">
        <f>OFFSET(ASISTENCIA!$E$1,MATCH($G48,ASISTENCIA!$E:$E,0)-1,MATCH(AK$1,ASISTENCIA!$3:$3,0)-5,1,1)</f>
        <v>#N/A</v>
      </c>
      <c r="AL48" s="131" t="str">
        <f>OFFSET(ASISTENCIA!$E$1,MATCH($G48,ASISTENCIA!$E:$E,0)-1,MATCH(AL$1,ASISTENCIA!$3:$3,0)-5,1,1)</f>
        <v>#N/A</v>
      </c>
      <c r="AM48" s="136" t="str">
        <f>IF(TODAY()&gt;=$AM$1-6,SUM(OFFSET(DEVO!$F$1,MATCH($G48,DEVO!$E:$E,0)-1,MATCH(AJ$1,DEVO!$1:$1,0)-6,1,7)),"")</f>
        <v>#N/A</v>
      </c>
      <c r="AN48" s="131" t="str">
        <f>IF(TODAY()&gt;=$AQ$1-6,SUM(OFFSET(ASISTENCIA!$E$1,MATCH($G48,ASISTENCIA!$E:$E,0)-1,MATCH(AN$1,ASISTENCIA!$3:$3,0)-5,1,1)),"")</f>
        <v>#N/A</v>
      </c>
      <c r="AO48" s="131" t="str">
        <f>OFFSET(ASISTENCIA!$E$1,MATCH($G48,ASISTENCIA!$E:$E,0)-1,MATCH(AO$1,ASISTENCIA!$3:$3,0)-5,1,1)</f>
        <v>#N/A</v>
      </c>
      <c r="AP48" s="131" t="str">
        <f>OFFSET(ASISTENCIA!$E$1,MATCH($G48,ASISTENCIA!$E:$E,0)-1,MATCH(AP$1,ASISTENCIA!$3:$3,0)-5,1,1)</f>
        <v>#N/A</v>
      </c>
      <c r="AQ48" s="136" t="str">
        <f>IF(TODAY()&gt;=$AQ$1-6,SUM(OFFSET(DEVO!$F$1,MATCH($G48,DEVO!$E:$E,0)-1,MATCH(AN$1,DEVO!$1:$1,0)-6,1,7)),"")</f>
        <v>#N/A</v>
      </c>
      <c r="AR48" s="131" t="str">
        <f>IF(TODAY()&gt;=$AU$1-6,SUM(OFFSET(ASISTENCIA!$E$1,MATCH($G48,ASISTENCIA!$E:$E,0)-1,MATCH(AR$1,ASISTENCIA!$3:$3,0)-5,1,1)),"")</f>
        <v>#N/A</v>
      </c>
      <c r="AS48" s="131" t="str">
        <f>OFFSET(ASISTENCIA!$E$1,MATCH($G48,ASISTENCIA!$E:$E,0)-1,MATCH(AS$1,ASISTENCIA!$3:$3,0)-5,1,1)</f>
        <v>#N/A</v>
      </c>
      <c r="AT48" s="131" t="str">
        <f>OFFSET(ASISTENCIA!$E$1,MATCH($G48,ASISTENCIA!$E:$E,0)-1,MATCH(AT$1,ASISTENCIA!$3:$3,0)-5,1,1)</f>
        <v>#N/A</v>
      </c>
      <c r="AU48" s="136" t="str">
        <f>IF(TODAY()&gt;=$AU$1-6,SUM(OFFSET(DEVO!$F$1,MATCH($G48,DEVO!$E:$E,0)-1,MATCH(AR$1,DEVO!$1:$1,0)-6,1,7)),"")</f>
        <v>#N/A</v>
      </c>
      <c r="AV48" s="131" t="str">
        <f>OFFSET(ASISTENCIA!$E$1,MATCH($G48,ASISTENCIA!$E:$E,0)-1,MATCH(AV$1,ASISTENCIA!$3:$3,0)-5,1,1)</f>
        <v>#N/A</v>
      </c>
      <c r="AW48" s="131" t="str">
        <f>OFFSET(ASISTENCIA!$E$1,MATCH($G48,ASISTENCIA!$E:$E,0)-1,MATCH(AW$1,ASISTENCIA!$3:$3,0)-5,1,1)</f>
        <v>#N/A</v>
      </c>
      <c r="AY48" s="173">
        <f t="shared" si="2"/>
        <v>0</v>
      </c>
      <c r="AZ48" s="174">
        <f t="shared" si="3"/>
        <v>0</v>
      </c>
      <c r="BA48" s="174">
        <f t="shared" si="4"/>
        <v>0</v>
      </c>
      <c r="BB48" s="174">
        <f t="shared" si="5"/>
        <v>0</v>
      </c>
      <c r="BC48" s="174">
        <f t="shared" si="6"/>
        <v>0</v>
      </c>
      <c r="BD48" s="174">
        <f t="shared" si="7"/>
        <v>0</v>
      </c>
      <c r="BE48" s="174">
        <f t="shared" si="8"/>
        <v>0</v>
      </c>
      <c r="BF48" s="174">
        <f t="shared" si="9"/>
        <v>0</v>
      </c>
      <c r="BG48" s="174">
        <f t="shared" si="10"/>
        <v>0</v>
      </c>
      <c r="BH48" s="152">
        <f t="shared" si="11"/>
        <v>0</v>
      </c>
      <c r="BI48" s="153" t="str">
        <f t="shared" si="12"/>
        <v>OBSERVADOS</v>
      </c>
      <c r="BJ48" s="175" t="str">
        <f t="shared" si="13"/>
        <v>#N/A</v>
      </c>
      <c r="BK48" s="176" t="str">
        <f t="shared" si="14"/>
        <v>#N/A</v>
      </c>
      <c r="BL48" s="176" t="str">
        <f t="shared" si="15"/>
        <v>#N/A</v>
      </c>
      <c r="BM48" s="176" t="str">
        <f t="shared" si="16"/>
        <v>#N/A</v>
      </c>
      <c r="BN48" s="176" t="str">
        <f t="shared" si="17"/>
        <v>#N/A</v>
      </c>
      <c r="BO48" s="176" t="str">
        <f t="shared" si="18"/>
        <v>#N/A</v>
      </c>
      <c r="BP48" s="176" t="str">
        <f t="shared" si="19"/>
        <v>#N/A</v>
      </c>
      <c r="BQ48" s="176" t="str">
        <f t="shared" si="20"/>
        <v>#N/A</v>
      </c>
      <c r="BR48" s="176" t="str">
        <f t="shared" si="21"/>
        <v>#N/A</v>
      </c>
      <c r="BS48" s="207" t="str">
        <f>OFFSET(ASISTENCIA!$E$1,MATCH($G48,ASISTENCIA!$E:$E,0)-1,MATCH(BS$1,ASISTENCIA!$3:$3,0)-5,1,1)</f>
        <v>#N/A</v>
      </c>
      <c r="BT48" s="207" t="str">
        <f>OFFSET(ASISTENCIA!$E$1,MATCH($G48,ASISTENCIA!$E:$E,0)-1,MATCH(BT$1,ASISTENCIA!$3:$3,0)-5,1,1)</f>
        <v>#N/A</v>
      </c>
      <c r="BU48" s="215" t="str">
        <f>OFFSET(ASISTENCIA!$E$1,MATCH($G48,ASISTENCIA!$E:$E,0)-1,MATCH(BU$1,ASISTENCIA!$3:$3,0)-5,1,1)</f>
        <v>#N/A</v>
      </c>
      <c r="BV48" s="215" t="str">
        <f>OFFSET(ASISTENCIA!$E$1,MATCH($G48,ASISTENCIA!$E:$E,0)-1,MATCH(BV$1,ASISTENCIA!$3:$3,0)-5,1,1)</f>
        <v>#N/A</v>
      </c>
      <c r="BW48" s="55"/>
      <c r="BX48" s="55"/>
      <c r="BY48" s="55"/>
    </row>
    <row r="49">
      <c r="A49" s="123">
        <f t="shared" si="22"/>
        <v>46</v>
      </c>
      <c r="B49" s="127"/>
      <c r="C49" s="128"/>
      <c r="D49" s="128"/>
      <c r="E49" s="127"/>
      <c r="F49" s="127"/>
      <c r="G49" s="128"/>
      <c r="H49" s="128"/>
      <c r="I49" s="129"/>
      <c r="J49" s="129" t="str">
        <f>DEVO!F50</f>
        <v/>
      </c>
      <c r="K49" s="129" t="str">
        <f t="shared" si="1"/>
        <v/>
      </c>
      <c r="L49" s="131" t="str">
        <f>IF(TODAY()&gt;=$O$1-6,SUM(OFFSET(ASISTENCIA!$E$1,MATCH($G49,ASISTENCIA!$E:$E,0)-1,MATCH(L$1,ASISTENCIA!$3:$3,0)-5,1,1)),"")</f>
        <v>#N/A</v>
      </c>
      <c r="M49" s="131" t="str">
        <f>OFFSET(ASISTENCIA!$E$1,MATCH($G49,ASISTENCIA!$E:$E,0)-1,MATCH(M$1,ASISTENCIA!$3:$3,0)-5,1,1)</f>
        <v>#N/A</v>
      </c>
      <c r="N49" s="131" t="str">
        <f>OFFSET(ASISTENCIA!$E$1,MATCH($G49,ASISTENCIA!$E:$E,0)-1,MATCH(N$1,ASISTENCIA!$3:$3,0)-5,1,1)</f>
        <v>#N/A</v>
      </c>
      <c r="O49" s="136" t="str">
        <f>IF(TODAY()&gt;=$O$1-6,SUM(OFFSET(DEVO!$F$1,MATCH($G49,DEVO!$E:$E,0)-1,MATCH(L$1,DEVO!$1:$1,0)-6,1,7)),"")</f>
        <v>#N/A</v>
      </c>
      <c r="P49" s="131" t="str">
        <f>IF(TODAY()&gt;=$S$1-6,SUM(OFFSET(ASISTENCIA!$E$1,MATCH($G49,ASISTENCIA!$E:$E,0)-1,MATCH(P$1,ASISTENCIA!$3:$3,0)-5,1,1)),"")</f>
        <v>#N/A</v>
      </c>
      <c r="Q49" s="131" t="str">
        <f>OFFSET(ASISTENCIA!$E$1,MATCH($G49,ASISTENCIA!$E:$E,0)-1,MATCH(Q$1,ASISTENCIA!$3:$3,0)-5,1,1)</f>
        <v>#N/A</v>
      </c>
      <c r="R49" s="131" t="str">
        <f>OFFSET(ASISTENCIA!$E$1,MATCH($G49,ASISTENCIA!$E:$E,0)-1,MATCH(R$1,ASISTENCIA!$3:$3,0)-5,1,1)</f>
        <v>#N/A</v>
      </c>
      <c r="S49" s="136" t="str">
        <f>IF(TODAY()&gt;=$S$1-6,SUM(OFFSET(DEVO!$F$1,MATCH($G49,DEVO!$E:$E,0)-1,MATCH(P$1,DEVO!$1:$1,0)-6,1,7)),"")</f>
        <v>#N/A</v>
      </c>
      <c r="T49" s="131" t="str">
        <f>IF(TODAY()&gt;=$W$1-6,SUM(OFFSET(ASISTENCIA!$E$1,MATCH($G49,ASISTENCIA!$E:$E,0)-1,MATCH(T$1,ASISTENCIA!$3:$3,0)-5,1,1)),"")</f>
        <v>#N/A</v>
      </c>
      <c r="U49" s="131" t="str">
        <f>OFFSET(ASISTENCIA!$E$1,MATCH($G49,ASISTENCIA!$E:$E,0)-1,MATCH(U$1,ASISTENCIA!$3:$3,0)-5,1,1)</f>
        <v>#N/A</v>
      </c>
      <c r="V49" s="131" t="str">
        <f>OFFSET(ASISTENCIA!$E$1,MATCH($G49,ASISTENCIA!$E:$E,0)-1,MATCH(V$1,ASISTENCIA!$3:$3,0)-5,1,1)</f>
        <v>#N/A</v>
      </c>
      <c r="W49" s="136" t="str">
        <f>IF(TODAY()&gt;=$W$1-6,SUM(OFFSET(DEVO!$F$1,MATCH($G49,DEVO!$E:$E,0)-1,MATCH(T$1,DEVO!$1:$1,0)-6,1,7)),"")</f>
        <v>#N/A</v>
      </c>
      <c r="X49" s="131" t="str">
        <f>IF(TODAY()&gt;=$AA$1-6,SUM(OFFSET(ASISTENCIA!$E$1,MATCH($G49,ASISTENCIA!$E:$E,0)-1,MATCH(X$1,ASISTENCIA!$3:$3,0)-5,1,1)),"")</f>
        <v>#N/A</v>
      </c>
      <c r="Y49" s="131" t="str">
        <f>OFFSET(ASISTENCIA!$E$1,MATCH($G49,ASISTENCIA!$E:$E,0)-1,MATCH(Y$1,ASISTENCIA!$3:$3,0)-5,1,1)</f>
        <v>#N/A</v>
      </c>
      <c r="Z49" s="131" t="str">
        <f>OFFSET(ASISTENCIA!$E$1,MATCH($G49,ASISTENCIA!$E:$E,0)-1,MATCH(Z$1,ASISTENCIA!$3:$3,0)-5,1,1)</f>
        <v>#N/A</v>
      </c>
      <c r="AA49" s="136" t="str">
        <f>IF(TODAY()&gt;=$AA$1-6,SUM(OFFSET(DEVO!$F$1,MATCH($G49,DEVO!$E:$E,0)-1,MATCH(X$1,DEVO!$1:$1,0)-6,1,7)),"")</f>
        <v>#N/A</v>
      </c>
      <c r="AB49" s="131" t="str">
        <f>IF(TODAY()&gt;=$AE$1-6,SUM(OFFSET(ASISTENCIA!$E$1,MATCH($G49,ASISTENCIA!$E:$E,0)-1,MATCH(AB$1,ASISTENCIA!$3:$3,0)-5,1,1)),"")</f>
        <v>#N/A</v>
      </c>
      <c r="AC49" s="131" t="str">
        <f>OFFSET(ASISTENCIA!$E$1,MATCH($G49,ASISTENCIA!$E:$E,0)-1,MATCH(AC$1,ASISTENCIA!$3:$3,0)-5,1,1)</f>
        <v>#N/A</v>
      </c>
      <c r="AD49" s="131" t="str">
        <f>OFFSET(ASISTENCIA!$E$1,MATCH($G49,ASISTENCIA!$E:$E,0)-1,MATCH(AD$1,ASISTENCIA!$3:$3,0)-5,1,1)</f>
        <v>#N/A</v>
      </c>
      <c r="AE49" s="136" t="str">
        <f>IF(TODAY()&gt;=$AE$1-6,SUM(OFFSET(DEVO!$F$1,MATCH($G49,DEVO!$E:$E,0)-1,MATCH(AB$1,DEVO!$1:$1,0)-6,1,7)),"")</f>
        <v>#N/A</v>
      </c>
      <c r="AF49" s="131" t="str">
        <f>IF(TODAY()&gt;=$AI$1-6,SUM(OFFSET(ASISTENCIA!$E$1,MATCH($G49,ASISTENCIA!$E:$E,0)-1,MATCH(AF$1,ASISTENCIA!$3:$3,0)-5,1,1)),"")</f>
        <v>#N/A</v>
      </c>
      <c r="AG49" s="131" t="str">
        <f>OFFSET(ASISTENCIA!$E$1,MATCH($G49,ASISTENCIA!$E:$E,0)-1,MATCH(AG$1,ASISTENCIA!$3:$3,0)-5,1,1)</f>
        <v>#N/A</v>
      </c>
      <c r="AH49" s="131" t="str">
        <f>OFFSET(ASISTENCIA!$E$1,MATCH($G49,ASISTENCIA!$E:$E,0)-1,MATCH(AH$1,ASISTENCIA!$3:$3,0)-5,1,1)</f>
        <v>#N/A</v>
      </c>
      <c r="AI49" s="136" t="str">
        <f>IF(TODAY()&gt;=$AI$1-6,SUM(OFFSET(DEVO!$F$1,MATCH($G49,DEVO!$E:$E,0)-1,MATCH(AF$1,DEVO!$1:$1,0)-6,1,7)),"")</f>
        <v>#N/A</v>
      </c>
      <c r="AJ49" s="131" t="str">
        <f>IF(TODAY()&gt;=$AM$1-6,SUM(OFFSET(ASISTENCIA!$E$1,MATCH($G49,ASISTENCIA!$E:$E,0)-1,MATCH(AJ$1,ASISTENCIA!$3:$3,0)-5,1,1)),"")</f>
        <v>#N/A</v>
      </c>
      <c r="AK49" s="131" t="str">
        <f>OFFSET(ASISTENCIA!$E$1,MATCH($G49,ASISTENCIA!$E:$E,0)-1,MATCH(AK$1,ASISTENCIA!$3:$3,0)-5,1,1)</f>
        <v>#N/A</v>
      </c>
      <c r="AL49" s="131" t="str">
        <f>OFFSET(ASISTENCIA!$E$1,MATCH($G49,ASISTENCIA!$E:$E,0)-1,MATCH(AL$1,ASISTENCIA!$3:$3,0)-5,1,1)</f>
        <v>#N/A</v>
      </c>
      <c r="AM49" s="136" t="str">
        <f>IF(TODAY()&gt;=$AM$1-6,SUM(OFFSET(DEVO!$F$1,MATCH($G49,DEVO!$E:$E,0)-1,MATCH(AJ$1,DEVO!$1:$1,0)-6,1,7)),"")</f>
        <v>#N/A</v>
      </c>
      <c r="AN49" s="131" t="str">
        <f>IF(TODAY()&gt;=$AQ$1-6,SUM(OFFSET(ASISTENCIA!$E$1,MATCH($G49,ASISTENCIA!$E:$E,0)-1,MATCH(AN$1,ASISTENCIA!$3:$3,0)-5,1,1)),"")</f>
        <v>#N/A</v>
      </c>
      <c r="AO49" s="131" t="str">
        <f>OFFSET(ASISTENCIA!$E$1,MATCH($G49,ASISTENCIA!$E:$E,0)-1,MATCH(AO$1,ASISTENCIA!$3:$3,0)-5,1,1)</f>
        <v>#N/A</v>
      </c>
      <c r="AP49" s="131" t="str">
        <f>OFFSET(ASISTENCIA!$E$1,MATCH($G49,ASISTENCIA!$E:$E,0)-1,MATCH(AP$1,ASISTENCIA!$3:$3,0)-5,1,1)</f>
        <v>#N/A</v>
      </c>
      <c r="AQ49" s="136" t="str">
        <f>IF(TODAY()&gt;=$AQ$1-6,SUM(OFFSET(DEVO!$F$1,MATCH($G49,DEVO!$E:$E,0)-1,MATCH(AN$1,DEVO!$1:$1,0)-6,1,7)),"")</f>
        <v>#N/A</v>
      </c>
      <c r="AR49" s="131" t="str">
        <f>IF(TODAY()&gt;=$AU$1-6,SUM(OFFSET(ASISTENCIA!$E$1,MATCH($G49,ASISTENCIA!$E:$E,0)-1,MATCH(AR$1,ASISTENCIA!$3:$3,0)-5,1,1)),"")</f>
        <v>#N/A</v>
      </c>
      <c r="AS49" s="131" t="str">
        <f>OFFSET(ASISTENCIA!$E$1,MATCH($G49,ASISTENCIA!$E:$E,0)-1,MATCH(AS$1,ASISTENCIA!$3:$3,0)-5,1,1)</f>
        <v>#N/A</v>
      </c>
      <c r="AT49" s="131" t="str">
        <f>OFFSET(ASISTENCIA!$E$1,MATCH($G49,ASISTENCIA!$E:$E,0)-1,MATCH(AT$1,ASISTENCIA!$3:$3,0)-5,1,1)</f>
        <v>#N/A</v>
      </c>
      <c r="AU49" s="136" t="str">
        <f>IF(TODAY()&gt;=$AU$1-6,SUM(OFFSET(DEVO!$F$1,MATCH($G49,DEVO!$E:$E,0)-1,MATCH(AR$1,DEVO!$1:$1,0)-6,1,7)),"")</f>
        <v>#N/A</v>
      </c>
      <c r="AV49" s="131" t="str">
        <f>OFFSET(ASISTENCIA!$E$1,MATCH($G49,ASISTENCIA!$E:$E,0)-1,MATCH(AV$1,ASISTENCIA!$3:$3,0)-5,1,1)</f>
        <v>#N/A</v>
      </c>
      <c r="AW49" s="131" t="str">
        <f>OFFSET(ASISTENCIA!$E$1,MATCH($G49,ASISTENCIA!$E:$E,0)-1,MATCH(AW$1,ASISTENCIA!$3:$3,0)-5,1,1)</f>
        <v>#N/A</v>
      </c>
      <c r="AY49" s="173">
        <f t="shared" si="2"/>
        <v>0</v>
      </c>
      <c r="AZ49" s="174">
        <f t="shared" si="3"/>
        <v>0</v>
      </c>
      <c r="BA49" s="174">
        <f t="shared" si="4"/>
        <v>0</v>
      </c>
      <c r="BB49" s="174">
        <f t="shared" si="5"/>
        <v>0</v>
      </c>
      <c r="BC49" s="174">
        <f t="shared" si="6"/>
        <v>0</v>
      </c>
      <c r="BD49" s="174">
        <f t="shared" si="7"/>
        <v>0</v>
      </c>
      <c r="BE49" s="174">
        <f t="shared" si="8"/>
        <v>0</v>
      </c>
      <c r="BF49" s="174">
        <f t="shared" si="9"/>
        <v>0</v>
      </c>
      <c r="BG49" s="174">
        <f t="shared" si="10"/>
        <v>0</v>
      </c>
      <c r="BH49" s="152">
        <f t="shared" si="11"/>
        <v>0</v>
      </c>
      <c r="BI49" s="153" t="str">
        <f t="shared" si="12"/>
        <v>OBSERVADOS</v>
      </c>
      <c r="BJ49" s="175" t="str">
        <f t="shared" si="13"/>
        <v>#N/A</v>
      </c>
      <c r="BK49" s="176" t="str">
        <f t="shared" si="14"/>
        <v>#N/A</v>
      </c>
      <c r="BL49" s="176" t="str">
        <f t="shared" si="15"/>
        <v>#N/A</v>
      </c>
      <c r="BM49" s="176" t="str">
        <f t="shared" si="16"/>
        <v>#N/A</v>
      </c>
      <c r="BN49" s="176" t="str">
        <f t="shared" si="17"/>
        <v>#N/A</v>
      </c>
      <c r="BO49" s="176" t="str">
        <f t="shared" si="18"/>
        <v>#N/A</v>
      </c>
      <c r="BP49" s="176" t="str">
        <f t="shared" si="19"/>
        <v>#N/A</v>
      </c>
      <c r="BQ49" s="176" t="str">
        <f t="shared" si="20"/>
        <v>#N/A</v>
      </c>
      <c r="BR49" s="176" t="str">
        <f t="shared" si="21"/>
        <v>#N/A</v>
      </c>
      <c r="BS49" s="207" t="str">
        <f>OFFSET(ASISTENCIA!$E$1,MATCH($G49,ASISTENCIA!$E:$E,0)-1,MATCH(BS$1,ASISTENCIA!$3:$3,0)-5,1,1)</f>
        <v>#N/A</v>
      </c>
      <c r="BT49" s="207" t="str">
        <f>OFFSET(ASISTENCIA!$E$1,MATCH($G49,ASISTENCIA!$E:$E,0)-1,MATCH(BT$1,ASISTENCIA!$3:$3,0)-5,1,1)</f>
        <v>#N/A</v>
      </c>
      <c r="BU49" s="215" t="str">
        <f>OFFSET(ASISTENCIA!$E$1,MATCH($G49,ASISTENCIA!$E:$E,0)-1,MATCH(BU$1,ASISTENCIA!$3:$3,0)-5,1,1)</f>
        <v>#N/A</v>
      </c>
      <c r="BV49" s="215" t="str">
        <f>OFFSET(ASISTENCIA!$E$1,MATCH($G49,ASISTENCIA!$E:$E,0)-1,MATCH(BV$1,ASISTENCIA!$3:$3,0)-5,1,1)</f>
        <v>#N/A</v>
      </c>
      <c r="BW49" s="55"/>
      <c r="BX49" s="55"/>
      <c r="BY49" s="55"/>
    </row>
    <row r="50">
      <c r="A50" s="123">
        <f t="shared" si="22"/>
        <v>47</v>
      </c>
      <c r="B50" s="127"/>
      <c r="C50" s="128"/>
      <c r="D50" s="128"/>
      <c r="E50" s="127"/>
      <c r="F50" s="127"/>
      <c r="G50" s="128"/>
      <c r="H50" s="128"/>
      <c r="I50" s="129"/>
      <c r="J50" s="129" t="str">
        <f>DEVO!F51</f>
        <v/>
      </c>
      <c r="K50" s="129" t="str">
        <f t="shared" si="1"/>
        <v/>
      </c>
      <c r="L50" s="131" t="str">
        <f>IF(TODAY()&gt;=$O$1-6,SUM(OFFSET(ASISTENCIA!$E$1,MATCH($G50,ASISTENCIA!$E:$E,0)-1,MATCH(L$1,ASISTENCIA!$3:$3,0)-5,1,1)),"")</f>
        <v>#N/A</v>
      </c>
      <c r="M50" s="131" t="str">
        <f>OFFSET(ASISTENCIA!$E$1,MATCH($G50,ASISTENCIA!$E:$E,0)-1,MATCH(M$1,ASISTENCIA!$3:$3,0)-5,1,1)</f>
        <v>#N/A</v>
      </c>
      <c r="N50" s="131" t="str">
        <f>OFFSET(ASISTENCIA!$E$1,MATCH($G50,ASISTENCIA!$E:$E,0)-1,MATCH(N$1,ASISTENCIA!$3:$3,0)-5,1,1)</f>
        <v>#N/A</v>
      </c>
      <c r="O50" s="136" t="str">
        <f>IF(TODAY()&gt;=$O$1-6,SUM(OFFSET(DEVO!$F$1,MATCH($G50,DEVO!$E:$E,0)-1,MATCH(L$1,DEVO!$1:$1,0)-6,1,7)),"")</f>
        <v>#N/A</v>
      </c>
      <c r="P50" s="131" t="str">
        <f>IF(TODAY()&gt;=$S$1-6,SUM(OFFSET(ASISTENCIA!$E$1,MATCH($G50,ASISTENCIA!$E:$E,0)-1,MATCH(P$1,ASISTENCIA!$3:$3,0)-5,1,1)),"")</f>
        <v>#N/A</v>
      </c>
      <c r="Q50" s="131" t="str">
        <f>OFFSET(ASISTENCIA!$E$1,MATCH($G50,ASISTENCIA!$E:$E,0)-1,MATCH(Q$1,ASISTENCIA!$3:$3,0)-5,1,1)</f>
        <v>#N/A</v>
      </c>
      <c r="R50" s="131" t="str">
        <f>OFFSET(ASISTENCIA!$E$1,MATCH($G50,ASISTENCIA!$E:$E,0)-1,MATCH(R$1,ASISTENCIA!$3:$3,0)-5,1,1)</f>
        <v>#N/A</v>
      </c>
      <c r="S50" s="136" t="str">
        <f>IF(TODAY()&gt;=$S$1-6,SUM(OFFSET(DEVO!$F$1,MATCH($G50,DEVO!$E:$E,0)-1,MATCH(P$1,DEVO!$1:$1,0)-6,1,7)),"")</f>
        <v>#N/A</v>
      </c>
      <c r="T50" s="131" t="str">
        <f>IF(TODAY()&gt;=$W$1-6,SUM(OFFSET(ASISTENCIA!$E$1,MATCH($G50,ASISTENCIA!$E:$E,0)-1,MATCH(T$1,ASISTENCIA!$3:$3,0)-5,1,1)),"")</f>
        <v>#N/A</v>
      </c>
      <c r="U50" s="131" t="str">
        <f>OFFSET(ASISTENCIA!$E$1,MATCH($G50,ASISTENCIA!$E:$E,0)-1,MATCH(U$1,ASISTENCIA!$3:$3,0)-5,1,1)</f>
        <v>#N/A</v>
      </c>
      <c r="V50" s="131" t="str">
        <f>OFFSET(ASISTENCIA!$E$1,MATCH($G50,ASISTENCIA!$E:$E,0)-1,MATCH(V$1,ASISTENCIA!$3:$3,0)-5,1,1)</f>
        <v>#N/A</v>
      </c>
      <c r="W50" s="136" t="str">
        <f>IF(TODAY()&gt;=$W$1-6,SUM(OFFSET(DEVO!$F$1,MATCH($G50,DEVO!$E:$E,0)-1,MATCH(T$1,DEVO!$1:$1,0)-6,1,7)),"")</f>
        <v>#N/A</v>
      </c>
      <c r="X50" s="131" t="str">
        <f>IF(TODAY()&gt;=$AA$1-6,SUM(OFFSET(ASISTENCIA!$E$1,MATCH($G50,ASISTENCIA!$E:$E,0)-1,MATCH(X$1,ASISTENCIA!$3:$3,0)-5,1,1)),"")</f>
        <v>#N/A</v>
      </c>
      <c r="Y50" s="131" t="str">
        <f>OFFSET(ASISTENCIA!$E$1,MATCH($G50,ASISTENCIA!$E:$E,0)-1,MATCH(Y$1,ASISTENCIA!$3:$3,0)-5,1,1)</f>
        <v>#N/A</v>
      </c>
      <c r="Z50" s="131" t="str">
        <f>OFFSET(ASISTENCIA!$E$1,MATCH($G50,ASISTENCIA!$E:$E,0)-1,MATCH(Z$1,ASISTENCIA!$3:$3,0)-5,1,1)</f>
        <v>#N/A</v>
      </c>
      <c r="AA50" s="136" t="str">
        <f>IF(TODAY()&gt;=$AA$1-6,SUM(OFFSET(DEVO!$F$1,MATCH($G50,DEVO!$E:$E,0)-1,MATCH(X$1,DEVO!$1:$1,0)-6,1,7)),"")</f>
        <v>#N/A</v>
      </c>
      <c r="AB50" s="131" t="str">
        <f>IF(TODAY()&gt;=$AE$1-6,SUM(OFFSET(ASISTENCIA!$E$1,MATCH($G50,ASISTENCIA!$E:$E,0)-1,MATCH(AB$1,ASISTENCIA!$3:$3,0)-5,1,1)),"")</f>
        <v>#N/A</v>
      </c>
      <c r="AC50" s="131" t="str">
        <f>OFFSET(ASISTENCIA!$E$1,MATCH($G50,ASISTENCIA!$E:$E,0)-1,MATCH(AC$1,ASISTENCIA!$3:$3,0)-5,1,1)</f>
        <v>#N/A</v>
      </c>
      <c r="AD50" s="131" t="str">
        <f>OFFSET(ASISTENCIA!$E$1,MATCH($G50,ASISTENCIA!$E:$E,0)-1,MATCH(AD$1,ASISTENCIA!$3:$3,0)-5,1,1)</f>
        <v>#N/A</v>
      </c>
      <c r="AE50" s="136" t="str">
        <f>IF(TODAY()&gt;=$AE$1-6,SUM(OFFSET(DEVO!$F$1,MATCH($G50,DEVO!$E:$E,0)-1,MATCH(AB$1,DEVO!$1:$1,0)-6,1,7)),"")</f>
        <v>#N/A</v>
      </c>
      <c r="AF50" s="131" t="str">
        <f>IF(TODAY()&gt;=$AI$1-6,SUM(OFFSET(ASISTENCIA!$E$1,MATCH($G50,ASISTENCIA!$E:$E,0)-1,MATCH(AF$1,ASISTENCIA!$3:$3,0)-5,1,1)),"")</f>
        <v>#N/A</v>
      </c>
      <c r="AG50" s="131" t="str">
        <f>OFFSET(ASISTENCIA!$E$1,MATCH($G50,ASISTENCIA!$E:$E,0)-1,MATCH(AG$1,ASISTENCIA!$3:$3,0)-5,1,1)</f>
        <v>#N/A</v>
      </c>
      <c r="AH50" s="131" t="str">
        <f>OFFSET(ASISTENCIA!$E$1,MATCH($G50,ASISTENCIA!$E:$E,0)-1,MATCH(AH$1,ASISTENCIA!$3:$3,0)-5,1,1)</f>
        <v>#N/A</v>
      </c>
      <c r="AI50" s="136" t="str">
        <f>IF(TODAY()&gt;=$AI$1-6,SUM(OFFSET(DEVO!$F$1,MATCH($G50,DEVO!$E:$E,0)-1,MATCH(AF$1,DEVO!$1:$1,0)-6,1,7)),"")</f>
        <v>#N/A</v>
      </c>
      <c r="AJ50" s="131" t="str">
        <f>IF(TODAY()&gt;=$AM$1-6,SUM(OFFSET(ASISTENCIA!$E$1,MATCH($G50,ASISTENCIA!$E:$E,0)-1,MATCH(AJ$1,ASISTENCIA!$3:$3,0)-5,1,1)),"")</f>
        <v>#N/A</v>
      </c>
      <c r="AK50" s="131" t="str">
        <f>OFFSET(ASISTENCIA!$E$1,MATCH($G50,ASISTENCIA!$E:$E,0)-1,MATCH(AK$1,ASISTENCIA!$3:$3,0)-5,1,1)</f>
        <v>#N/A</v>
      </c>
      <c r="AL50" s="131" t="str">
        <f>OFFSET(ASISTENCIA!$E$1,MATCH($G50,ASISTENCIA!$E:$E,0)-1,MATCH(AL$1,ASISTENCIA!$3:$3,0)-5,1,1)</f>
        <v>#N/A</v>
      </c>
      <c r="AM50" s="136" t="str">
        <f>IF(TODAY()&gt;=$AM$1-6,SUM(OFFSET(DEVO!$F$1,MATCH($G50,DEVO!$E:$E,0)-1,MATCH(AJ$1,DEVO!$1:$1,0)-6,1,7)),"")</f>
        <v>#N/A</v>
      </c>
      <c r="AN50" s="131" t="str">
        <f>IF(TODAY()&gt;=$AQ$1-6,SUM(OFFSET(ASISTENCIA!$E$1,MATCH($G50,ASISTENCIA!$E:$E,0)-1,MATCH(AN$1,ASISTENCIA!$3:$3,0)-5,1,1)),"")</f>
        <v>#N/A</v>
      </c>
      <c r="AO50" s="131" t="str">
        <f>OFFSET(ASISTENCIA!$E$1,MATCH($G50,ASISTENCIA!$E:$E,0)-1,MATCH(AO$1,ASISTENCIA!$3:$3,0)-5,1,1)</f>
        <v>#N/A</v>
      </c>
      <c r="AP50" s="131" t="str">
        <f>OFFSET(ASISTENCIA!$E$1,MATCH($G50,ASISTENCIA!$E:$E,0)-1,MATCH(AP$1,ASISTENCIA!$3:$3,0)-5,1,1)</f>
        <v>#N/A</v>
      </c>
      <c r="AQ50" s="136" t="str">
        <f>IF(TODAY()&gt;=$AQ$1-6,SUM(OFFSET(DEVO!$F$1,MATCH($G50,DEVO!$E:$E,0)-1,MATCH(AN$1,DEVO!$1:$1,0)-6,1,7)),"")</f>
        <v>#N/A</v>
      </c>
      <c r="AR50" s="131" t="str">
        <f>IF(TODAY()&gt;=$AU$1-6,SUM(OFFSET(ASISTENCIA!$E$1,MATCH($G50,ASISTENCIA!$E:$E,0)-1,MATCH(AR$1,ASISTENCIA!$3:$3,0)-5,1,1)),"")</f>
        <v>#N/A</v>
      </c>
      <c r="AS50" s="131" t="str">
        <f>OFFSET(ASISTENCIA!$E$1,MATCH($G50,ASISTENCIA!$E:$E,0)-1,MATCH(AS$1,ASISTENCIA!$3:$3,0)-5,1,1)</f>
        <v>#N/A</v>
      </c>
      <c r="AT50" s="131" t="str">
        <f>OFFSET(ASISTENCIA!$E$1,MATCH($G50,ASISTENCIA!$E:$E,0)-1,MATCH(AT$1,ASISTENCIA!$3:$3,0)-5,1,1)</f>
        <v>#N/A</v>
      </c>
      <c r="AU50" s="136" t="str">
        <f>IF(TODAY()&gt;=$AU$1-6,SUM(OFFSET(DEVO!$F$1,MATCH($G50,DEVO!$E:$E,0)-1,MATCH(AR$1,DEVO!$1:$1,0)-6,1,7)),"")</f>
        <v>#N/A</v>
      </c>
      <c r="AV50" s="131" t="str">
        <f>OFFSET(ASISTENCIA!$E$1,MATCH($G50,ASISTENCIA!$E:$E,0)-1,MATCH(AV$1,ASISTENCIA!$3:$3,0)-5,1,1)</f>
        <v>#N/A</v>
      </c>
      <c r="AW50" s="131" t="str">
        <f>OFFSET(ASISTENCIA!$E$1,MATCH($G50,ASISTENCIA!$E:$E,0)-1,MATCH(AW$1,ASISTENCIA!$3:$3,0)-5,1,1)</f>
        <v>#N/A</v>
      </c>
      <c r="AY50" s="173">
        <f t="shared" si="2"/>
        <v>0</v>
      </c>
      <c r="AZ50" s="174">
        <f t="shared" si="3"/>
        <v>0</v>
      </c>
      <c r="BA50" s="174">
        <f t="shared" si="4"/>
        <v>0</v>
      </c>
      <c r="BB50" s="174">
        <f t="shared" si="5"/>
        <v>0</v>
      </c>
      <c r="BC50" s="174">
        <f t="shared" si="6"/>
        <v>0</v>
      </c>
      <c r="BD50" s="174">
        <f t="shared" si="7"/>
        <v>0</v>
      </c>
      <c r="BE50" s="174">
        <f t="shared" si="8"/>
        <v>0</v>
      </c>
      <c r="BF50" s="174">
        <f t="shared" si="9"/>
        <v>0</v>
      </c>
      <c r="BG50" s="174">
        <f t="shared" si="10"/>
        <v>0</v>
      </c>
      <c r="BH50" s="152">
        <f t="shared" si="11"/>
        <v>0</v>
      </c>
      <c r="BI50" s="153" t="str">
        <f t="shared" si="12"/>
        <v>OBSERVADOS</v>
      </c>
      <c r="BJ50" s="175" t="str">
        <f t="shared" si="13"/>
        <v>#N/A</v>
      </c>
      <c r="BK50" s="176" t="str">
        <f t="shared" si="14"/>
        <v>#N/A</v>
      </c>
      <c r="BL50" s="176" t="str">
        <f t="shared" si="15"/>
        <v>#N/A</v>
      </c>
      <c r="BM50" s="176" t="str">
        <f t="shared" si="16"/>
        <v>#N/A</v>
      </c>
      <c r="BN50" s="176" t="str">
        <f t="shared" si="17"/>
        <v>#N/A</v>
      </c>
      <c r="BO50" s="176" t="str">
        <f t="shared" si="18"/>
        <v>#N/A</v>
      </c>
      <c r="BP50" s="176" t="str">
        <f t="shared" si="19"/>
        <v>#N/A</v>
      </c>
      <c r="BQ50" s="176" t="str">
        <f t="shared" si="20"/>
        <v>#N/A</v>
      </c>
      <c r="BR50" s="176" t="str">
        <f t="shared" si="21"/>
        <v>#N/A</v>
      </c>
      <c r="BS50" s="207" t="str">
        <f>OFFSET(ASISTENCIA!$E$1,MATCH($G50,ASISTENCIA!$E:$E,0)-1,MATCH(BS$1,ASISTENCIA!$3:$3,0)-5,1,1)</f>
        <v>#N/A</v>
      </c>
      <c r="BT50" s="207" t="str">
        <f>OFFSET(ASISTENCIA!$E$1,MATCH($G50,ASISTENCIA!$E:$E,0)-1,MATCH(BT$1,ASISTENCIA!$3:$3,0)-5,1,1)</f>
        <v>#N/A</v>
      </c>
      <c r="BU50" s="215" t="str">
        <f>OFFSET(ASISTENCIA!$E$1,MATCH($G50,ASISTENCIA!$E:$E,0)-1,MATCH(BU$1,ASISTENCIA!$3:$3,0)-5,1,1)</f>
        <v>#N/A</v>
      </c>
      <c r="BV50" s="215" t="str">
        <f>OFFSET(ASISTENCIA!$E$1,MATCH($G50,ASISTENCIA!$E:$E,0)-1,MATCH(BV$1,ASISTENCIA!$3:$3,0)-5,1,1)</f>
        <v>#N/A</v>
      </c>
      <c r="BW50" s="55"/>
      <c r="BX50" s="55"/>
      <c r="BY50" s="55"/>
    </row>
    <row r="51">
      <c r="A51" s="123">
        <f t="shared" si="22"/>
        <v>48</v>
      </c>
      <c r="B51" s="127"/>
      <c r="C51" s="128"/>
      <c r="D51" s="128"/>
      <c r="E51" s="127"/>
      <c r="F51" s="127"/>
      <c r="G51" s="128"/>
      <c r="H51" s="128"/>
      <c r="I51" s="129"/>
      <c r="J51" s="129" t="str">
        <f>DEVO!F52</f>
        <v/>
      </c>
      <c r="K51" s="129" t="str">
        <f t="shared" si="1"/>
        <v/>
      </c>
      <c r="L51" s="131" t="str">
        <f>IF(TODAY()&gt;=$O$1-6,SUM(OFFSET(ASISTENCIA!$E$1,MATCH($G51,ASISTENCIA!$E:$E,0)-1,MATCH(L$1,ASISTENCIA!$3:$3,0)-5,1,1)),"")</f>
        <v>#N/A</v>
      </c>
      <c r="M51" s="131" t="str">
        <f>OFFSET(ASISTENCIA!$E$1,MATCH($G51,ASISTENCIA!$E:$E,0)-1,MATCH(M$1,ASISTENCIA!$3:$3,0)-5,1,1)</f>
        <v>#N/A</v>
      </c>
      <c r="N51" s="131" t="str">
        <f>OFFSET(ASISTENCIA!$E$1,MATCH($G51,ASISTENCIA!$E:$E,0)-1,MATCH(N$1,ASISTENCIA!$3:$3,0)-5,1,1)</f>
        <v>#N/A</v>
      </c>
      <c r="O51" s="136" t="str">
        <f>IF(TODAY()&gt;=$O$1-6,SUM(OFFSET(DEVO!$F$1,MATCH($G51,DEVO!$E:$E,0)-1,MATCH(L$1,DEVO!$1:$1,0)-6,1,7)),"")</f>
        <v>#N/A</v>
      </c>
      <c r="P51" s="131" t="str">
        <f>IF(TODAY()&gt;=$S$1-6,SUM(OFFSET(ASISTENCIA!$E$1,MATCH($G51,ASISTENCIA!$E:$E,0)-1,MATCH(P$1,ASISTENCIA!$3:$3,0)-5,1,1)),"")</f>
        <v>#N/A</v>
      </c>
      <c r="Q51" s="131" t="str">
        <f>OFFSET(ASISTENCIA!$E$1,MATCH($G51,ASISTENCIA!$E:$E,0)-1,MATCH(Q$1,ASISTENCIA!$3:$3,0)-5,1,1)</f>
        <v>#N/A</v>
      </c>
      <c r="R51" s="131" t="str">
        <f>OFFSET(ASISTENCIA!$E$1,MATCH($G51,ASISTENCIA!$E:$E,0)-1,MATCH(R$1,ASISTENCIA!$3:$3,0)-5,1,1)</f>
        <v>#N/A</v>
      </c>
      <c r="S51" s="136" t="str">
        <f>IF(TODAY()&gt;=$S$1-6,SUM(OFFSET(DEVO!$F$1,MATCH($G51,DEVO!$E:$E,0)-1,MATCH(P$1,DEVO!$1:$1,0)-6,1,7)),"")</f>
        <v>#N/A</v>
      </c>
      <c r="T51" s="131" t="str">
        <f>IF(TODAY()&gt;=$W$1-6,SUM(OFFSET(ASISTENCIA!$E$1,MATCH($G51,ASISTENCIA!$E:$E,0)-1,MATCH(T$1,ASISTENCIA!$3:$3,0)-5,1,1)),"")</f>
        <v>#N/A</v>
      </c>
      <c r="U51" s="131" t="str">
        <f>OFFSET(ASISTENCIA!$E$1,MATCH($G51,ASISTENCIA!$E:$E,0)-1,MATCH(U$1,ASISTENCIA!$3:$3,0)-5,1,1)</f>
        <v>#N/A</v>
      </c>
      <c r="V51" s="131" t="str">
        <f>OFFSET(ASISTENCIA!$E$1,MATCH($G51,ASISTENCIA!$E:$E,0)-1,MATCH(V$1,ASISTENCIA!$3:$3,0)-5,1,1)</f>
        <v>#N/A</v>
      </c>
      <c r="W51" s="136" t="str">
        <f>IF(TODAY()&gt;=$W$1-6,SUM(OFFSET(DEVO!$F$1,MATCH($G51,DEVO!$E:$E,0)-1,MATCH(T$1,DEVO!$1:$1,0)-6,1,7)),"")</f>
        <v>#N/A</v>
      </c>
      <c r="X51" s="131" t="str">
        <f>IF(TODAY()&gt;=$AA$1-6,SUM(OFFSET(ASISTENCIA!$E$1,MATCH($G51,ASISTENCIA!$E:$E,0)-1,MATCH(X$1,ASISTENCIA!$3:$3,0)-5,1,1)),"")</f>
        <v>#N/A</v>
      </c>
      <c r="Y51" s="131" t="str">
        <f>OFFSET(ASISTENCIA!$E$1,MATCH($G51,ASISTENCIA!$E:$E,0)-1,MATCH(Y$1,ASISTENCIA!$3:$3,0)-5,1,1)</f>
        <v>#N/A</v>
      </c>
      <c r="Z51" s="131" t="str">
        <f>OFFSET(ASISTENCIA!$E$1,MATCH($G51,ASISTENCIA!$E:$E,0)-1,MATCH(Z$1,ASISTENCIA!$3:$3,0)-5,1,1)</f>
        <v>#N/A</v>
      </c>
      <c r="AA51" s="136" t="str">
        <f>IF(TODAY()&gt;=$AA$1-6,SUM(OFFSET(DEVO!$F$1,MATCH($G51,DEVO!$E:$E,0)-1,MATCH(X$1,DEVO!$1:$1,0)-6,1,7)),"")</f>
        <v>#N/A</v>
      </c>
      <c r="AB51" s="131" t="str">
        <f>IF(TODAY()&gt;=$AE$1-6,SUM(OFFSET(ASISTENCIA!$E$1,MATCH($G51,ASISTENCIA!$E:$E,0)-1,MATCH(AB$1,ASISTENCIA!$3:$3,0)-5,1,1)),"")</f>
        <v>#N/A</v>
      </c>
      <c r="AC51" s="131" t="str">
        <f>OFFSET(ASISTENCIA!$E$1,MATCH($G51,ASISTENCIA!$E:$E,0)-1,MATCH(AC$1,ASISTENCIA!$3:$3,0)-5,1,1)</f>
        <v>#N/A</v>
      </c>
      <c r="AD51" s="131" t="str">
        <f>OFFSET(ASISTENCIA!$E$1,MATCH($G51,ASISTENCIA!$E:$E,0)-1,MATCH(AD$1,ASISTENCIA!$3:$3,0)-5,1,1)</f>
        <v>#N/A</v>
      </c>
      <c r="AE51" s="136" t="str">
        <f>IF(TODAY()&gt;=$AE$1-6,SUM(OFFSET(DEVO!$F$1,MATCH($G51,DEVO!$E:$E,0)-1,MATCH(AB$1,DEVO!$1:$1,0)-6,1,7)),"")</f>
        <v>#N/A</v>
      </c>
      <c r="AF51" s="131" t="str">
        <f>IF(TODAY()&gt;=$AI$1-6,SUM(OFFSET(ASISTENCIA!$E$1,MATCH($G51,ASISTENCIA!$E:$E,0)-1,MATCH(AF$1,ASISTENCIA!$3:$3,0)-5,1,1)),"")</f>
        <v>#N/A</v>
      </c>
      <c r="AG51" s="131" t="str">
        <f>OFFSET(ASISTENCIA!$E$1,MATCH($G51,ASISTENCIA!$E:$E,0)-1,MATCH(AG$1,ASISTENCIA!$3:$3,0)-5,1,1)</f>
        <v>#N/A</v>
      </c>
      <c r="AH51" s="131" t="str">
        <f>OFFSET(ASISTENCIA!$E$1,MATCH($G51,ASISTENCIA!$E:$E,0)-1,MATCH(AH$1,ASISTENCIA!$3:$3,0)-5,1,1)</f>
        <v>#N/A</v>
      </c>
      <c r="AI51" s="136" t="str">
        <f>IF(TODAY()&gt;=$AI$1-6,SUM(OFFSET(DEVO!$F$1,MATCH($G51,DEVO!$E:$E,0)-1,MATCH(AF$1,DEVO!$1:$1,0)-6,1,7)),"")</f>
        <v>#N/A</v>
      </c>
      <c r="AJ51" s="131" t="str">
        <f>IF(TODAY()&gt;=$AM$1-6,SUM(OFFSET(ASISTENCIA!$E$1,MATCH($G51,ASISTENCIA!$E:$E,0)-1,MATCH(AJ$1,ASISTENCIA!$3:$3,0)-5,1,1)),"")</f>
        <v>#N/A</v>
      </c>
      <c r="AK51" s="131" t="str">
        <f>OFFSET(ASISTENCIA!$E$1,MATCH($G51,ASISTENCIA!$E:$E,0)-1,MATCH(AK$1,ASISTENCIA!$3:$3,0)-5,1,1)</f>
        <v>#N/A</v>
      </c>
      <c r="AL51" s="131" t="str">
        <f>OFFSET(ASISTENCIA!$E$1,MATCH($G51,ASISTENCIA!$E:$E,0)-1,MATCH(AL$1,ASISTENCIA!$3:$3,0)-5,1,1)</f>
        <v>#N/A</v>
      </c>
      <c r="AM51" s="136" t="str">
        <f>IF(TODAY()&gt;=$AM$1-6,SUM(OFFSET(DEVO!$F$1,MATCH($G51,DEVO!$E:$E,0)-1,MATCH(AJ$1,DEVO!$1:$1,0)-6,1,7)),"")</f>
        <v>#N/A</v>
      </c>
      <c r="AN51" s="131" t="str">
        <f>IF(TODAY()&gt;=$AQ$1-6,SUM(OFFSET(ASISTENCIA!$E$1,MATCH($G51,ASISTENCIA!$E:$E,0)-1,MATCH(AN$1,ASISTENCIA!$3:$3,0)-5,1,1)),"")</f>
        <v>#N/A</v>
      </c>
      <c r="AO51" s="131" t="str">
        <f>OFFSET(ASISTENCIA!$E$1,MATCH($G51,ASISTENCIA!$E:$E,0)-1,MATCH(AO$1,ASISTENCIA!$3:$3,0)-5,1,1)</f>
        <v>#N/A</v>
      </c>
      <c r="AP51" s="131" t="str">
        <f>OFFSET(ASISTENCIA!$E$1,MATCH($G51,ASISTENCIA!$E:$E,0)-1,MATCH(AP$1,ASISTENCIA!$3:$3,0)-5,1,1)</f>
        <v>#N/A</v>
      </c>
      <c r="AQ51" s="136" t="str">
        <f>IF(TODAY()&gt;=$AQ$1-6,SUM(OFFSET(DEVO!$F$1,MATCH($G51,DEVO!$E:$E,0)-1,MATCH(AN$1,DEVO!$1:$1,0)-6,1,7)),"")</f>
        <v>#N/A</v>
      </c>
      <c r="AR51" s="131" t="str">
        <f>IF(TODAY()&gt;=$AU$1-6,SUM(OFFSET(ASISTENCIA!$E$1,MATCH($G51,ASISTENCIA!$E:$E,0)-1,MATCH(AR$1,ASISTENCIA!$3:$3,0)-5,1,1)),"")</f>
        <v>#N/A</v>
      </c>
      <c r="AS51" s="131" t="str">
        <f>OFFSET(ASISTENCIA!$E$1,MATCH($G51,ASISTENCIA!$E:$E,0)-1,MATCH(AS$1,ASISTENCIA!$3:$3,0)-5,1,1)</f>
        <v>#N/A</v>
      </c>
      <c r="AT51" s="131" t="str">
        <f>OFFSET(ASISTENCIA!$E$1,MATCH($G51,ASISTENCIA!$E:$E,0)-1,MATCH(AT$1,ASISTENCIA!$3:$3,0)-5,1,1)</f>
        <v>#N/A</v>
      </c>
      <c r="AU51" s="136" t="str">
        <f>IF(TODAY()&gt;=$AU$1-6,SUM(OFFSET(DEVO!$F$1,MATCH($G51,DEVO!$E:$E,0)-1,MATCH(AR$1,DEVO!$1:$1,0)-6,1,7)),"")</f>
        <v>#N/A</v>
      </c>
      <c r="AV51" s="131" t="str">
        <f>OFFSET(ASISTENCIA!$E$1,MATCH($G51,ASISTENCIA!$E:$E,0)-1,MATCH(AV$1,ASISTENCIA!$3:$3,0)-5,1,1)</f>
        <v>#N/A</v>
      </c>
      <c r="AW51" s="131" t="str">
        <f>OFFSET(ASISTENCIA!$E$1,MATCH($G51,ASISTENCIA!$E:$E,0)-1,MATCH(AW$1,ASISTENCIA!$3:$3,0)-5,1,1)</f>
        <v>#N/A</v>
      </c>
      <c r="AY51" s="173">
        <f t="shared" si="2"/>
        <v>0</v>
      </c>
      <c r="AZ51" s="174">
        <f t="shared" si="3"/>
        <v>0</v>
      </c>
      <c r="BA51" s="174">
        <f t="shared" si="4"/>
        <v>0</v>
      </c>
      <c r="BB51" s="174">
        <f t="shared" si="5"/>
        <v>0</v>
      </c>
      <c r="BC51" s="174">
        <f t="shared" si="6"/>
        <v>0</v>
      </c>
      <c r="BD51" s="174">
        <f t="shared" si="7"/>
        <v>0</v>
      </c>
      <c r="BE51" s="174">
        <f t="shared" si="8"/>
        <v>0</v>
      </c>
      <c r="BF51" s="174">
        <f t="shared" si="9"/>
        <v>0</v>
      </c>
      <c r="BG51" s="174">
        <f t="shared" si="10"/>
        <v>0</v>
      </c>
      <c r="BH51" s="152">
        <f t="shared" si="11"/>
        <v>0</v>
      </c>
      <c r="BI51" s="153" t="str">
        <f t="shared" si="12"/>
        <v>OBSERVADOS</v>
      </c>
      <c r="BJ51" s="175" t="str">
        <f t="shared" si="13"/>
        <v>#N/A</v>
      </c>
      <c r="BK51" s="176" t="str">
        <f t="shared" si="14"/>
        <v>#N/A</v>
      </c>
      <c r="BL51" s="176" t="str">
        <f t="shared" si="15"/>
        <v>#N/A</v>
      </c>
      <c r="BM51" s="176" t="str">
        <f t="shared" si="16"/>
        <v>#N/A</v>
      </c>
      <c r="BN51" s="176" t="str">
        <f t="shared" si="17"/>
        <v>#N/A</v>
      </c>
      <c r="BO51" s="176" t="str">
        <f t="shared" si="18"/>
        <v>#N/A</v>
      </c>
      <c r="BP51" s="176" t="str">
        <f t="shared" si="19"/>
        <v>#N/A</v>
      </c>
      <c r="BQ51" s="176" t="str">
        <f t="shared" si="20"/>
        <v>#N/A</v>
      </c>
      <c r="BR51" s="176" t="str">
        <f t="shared" si="21"/>
        <v>#N/A</v>
      </c>
      <c r="BS51" s="207" t="str">
        <f>OFFSET(ASISTENCIA!$E$1,MATCH($G51,ASISTENCIA!$E:$E,0)-1,MATCH(BS$1,ASISTENCIA!$3:$3,0)-5,1,1)</f>
        <v>#N/A</v>
      </c>
      <c r="BT51" s="207" t="str">
        <f>OFFSET(ASISTENCIA!$E$1,MATCH($G51,ASISTENCIA!$E:$E,0)-1,MATCH(BT$1,ASISTENCIA!$3:$3,0)-5,1,1)</f>
        <v>#N/A</v>
      </c>
      <c r="BU51" s="215" t="str">
        <f>OFFSET(ASISTENCIA!$E$1,MATCH($G51,ASISTENCIA!$E:$E,0)-1,MATCH(BU$1,ASISTENCIA!$3:$3,0)-5,1,1)</f>
        <v>#N/A</v>
      </c>
      <c r="BV51" s="215" t="str">
        <f>OFFSET(ASISTENCIA!$E$1,MATCH($G51,ASISTENCIA!$E:$E,0)-1,MATCH(BV$1,ASISTENCIA!$3:$3,0)-5,1,1)</f>
        <v>#N/A</v>
      </c>
      <c r="BW51" s="55"/>
      <c r="BX51" s="55"/>
      <c r="BY51" s="55"/>
    </row>
    <row r="52">
      <c r="A52" s="123">
        <f t="shared" si="22"/>
        <v>49</v>
      </c>
      <c r="B52" s="127"/>
      <c r="C52" s="128"/>
      <c r="D52" s="128"/>
      <c r="E52" s="127"/>
      <c r="F52" s="127"/>
      <c r="G52" s="128"/>
      <c r="H52" s="128"/>
      <c r="I52" s="129"/>
      <c r="J52" s="129" t="str">
        <f>DEVO!F53</f>
        <v/>
      </c>
      <c r="K52" s="129" t="str">
        <f t="shared" si="1"/>
        <v/>
      </c>
      <c r="L52" s="131" t="str">
        <f>IF(TODAY()&gt;=$O$1-6,SUM(OFFSET(ASISTENCIA!$E$1,MATCH($G52,ASISTENCIA!$E:$E,0)-1,MATCH(L$1,ASISTENCIA!$3:$3,0)-5,1,1)),"")</f>
        <v>#N/A</v>
      </c>
      <c r="M52" s="131" t="str">
        <f>OFFSET(ASISTENCIA!$E$1,MATCH($G52,ASISTENCIA!$E:$E,0)-1,MATCH(M$1,ASISTENCIA!$3:$3,0)-5,1,1)</f>
        <v>#N/A</v>
      </c>
      <c r="N52" s="131" t="str">
        <f>OFFSET(ASISTENCIA!$E$1,MATCH($G52,ASISTENCIA!$E:$E,0)-1,MATCH(N$1,ASISTENCIA!$3:$3,0)-5,1,1)</f>
        <v>#N/A</v>
      </c>
      <c r="O52" s="136" t="str">
        <f>IF(TODAY()&gt;=$O$1-6,SUM(OFFSET(DEVO!$F$1,MATCH($G52,DEVO!$E:$E,0)-1,MATCH(L$1,DEVO!$1:$1,0)-6,1,7)),"")</f>
        <v>#N/A</v>
      </c>
      <c r="P52" s="131" t="str">
        <f>IF(TODAY()&gt;=$S$1-6,SUM(OFFSET(ASISTENCIA!$E$1,MATCH($G52,ASISTENCIA!$E:$E,0)-1,MATCH(P$1,ASISTENCIA!$3:$3,0)-5,1,1)),"")</f>
        <v>#N/A</v>
      </c>
      <c r="Q52" s="131" t="str">
        <f>OFFSET(ASISTENCIA!$E$1,MATCH($G52,ASISTENCIA!$E:$E,0)-1,MATCH(Q$1,ASISTENCIA!$3:$3,0)-5,1,1)</f>
        <v>#N/A</v>
      </c>
      <c r="R52" s="131" t="str">
        <f>OFFSET(ASISTENCIA!$E$1,MATCH($G52,ASISTENCIA!$E:$E,0)-1,MATCH(R$1,ASISTENCIA!$3:$3,0)-5,1,1)</f>
        <v>#N/A</v>
      </c>
      <c r="S52" s="136" t="str">
        <f>IF(TODAY()&gt;=$S$1-6,SUM(OFFSET(DEVO!$F$1,MATCH($G52,DEVO!$E:$E,0)-1,MATCH(P$1,DEVO!$1:$1,0)-6,1,7)),"")</f>
        <v>#N/A</v>
      </c>
      <c r="T52" s="131" t="str">
        <f>IF(TODAY()&gt;=$W$1-6,SUM(OFFSET(ASISTENCIA!$E$1,MATCH($G52,ASISTENCIA!$E:$E,0)-1,MATCH(T$1,ASISTENCIA!$3:$3,0)-5,1,1)),"")</f>
        <v>#N/A</v>
      </c>
      <c r="U52" s="131" t="str">
        <f>OFFSET(ASISTENCIA!$E$1,MATCH($G52,ASISTENCIA!$E:$E,0)-1,MATCH(U$1,ASISTENCIA!$3:$3,0)-5,1,1)</f>
        <v>#N/A</v>
      </c>
      <c r="V52" s="131" t="str">
        <f>OFFSET(ASISTENCIA!$E$1,MATCH($G52,ASISTENCIA!$E:$E,0)-1,MATCH(V$1,ASISTENCIA!$3:$3,0)-5,1,1)</f>
        <v>#N/A</v>
      </c>
      <c r="W52" s="136" t="str">
        <f>IF(TODAY()&gt;=$W$1-6,SUM(OFFSET(DEVO!$F$1,MATCH($G52,DEVO!$E:$E,0)-1,MATCH(T$1,DEVO!$1:$1,0)-6,1,7)),"")</f>
        <v>#N/A</v>
      </c>
      <c r="X52" s="131" t="str">
        <f>IF(TODAY()&gt;=$AA$1-6,SUM(OFFSET(ASISTENCIA!$E$1,MATCH($G52,ASISTENCIA!$E:$E,0)-1,MATCH(X$1,ASISTENCIA!$3:$3,0)-5,1,1)),"")</f>
        <v>#N/A</v>
      </c>
      <c r="Y52" s="131" t="str">
        <f>OFFSET(ASISTENCIA!$E$1,MATCH($G52,ASISTENCIA!$E:$E,0)-1,MATCH(Y$1,ASISTENCIA!$3:$3,0)-5,1,1)</f>
        <v>#N/A</v>
      </c>
      <c r="Z52" s="131" t="str">
        <f>OFFSET(ASISTENCIA!$E$1,MATCH($G52,ASISTENCIA!$E:$E,0)-1,MATCH(Z$1,ASISTENCIA!$3:$3,0)-5,1,1)</f>
        <v>#N/A</v>
      </c>
      <c r="AA52" s="136" t="str">
        <f>IF(TODAY()&gt;=$AA$1-6,SUM(OFFSET(DEVO!$F$1,MATCH($G52,DEVO!$E:$E,0)-1,MATCH(X$1,DEVO!$1:$1,0)-6,1,7)),"")</f>
        <v>#N/A</v>
      </c>
      <c r="AB52" s="131" t="str">
        <f>IF(TODAY()&gt;=$AE$1-6,SUM(OFFSET(ASISTENCIA!$E$1,MATCH($G52,ASISTENCIA!$E:$E,0)-1,MATCH(AB$1,ASISTENCIA!$3:$3,0)-5,1,1)),"")</f>
        <v>#N/A</v>
      </c>
      <c r="AC52" s="131" t="str">
        <f>OFFSET(ASISTENCIA!$E$1,MATCH($G52,ASISTENCIA!$E:$E,0)-1,MATCH(AC$1,ASISTENCIA!$3:$3,0)-5,1,1)</f>
        <v>#N/A</v>
      </c>
      <c r="AD52" s="131" t="str">
        <f>OFFSET(ASISTENCIA!$E$1,MATCH($G52,ASISTENCIA!$E:$E,0)-1,MATCH(AD$1,ASISTENCIA!$3:$3,0)-5,1,1)</f>
        <v>#N/A</v>
      </c>
      <c r="AE52" s="136" t="str">
        <f>IF(TODAY()&gt;=$AE$1-6,SUM(OFFSET(DEVO!$F$1,MATCH($G52,DEVO!$E:$E,0)-1,MATCH(AB$1,DEVO!$1:$1,0)-6,1,7)),"")</f>
        <v>#N/A</v>
      </c>
      <c r="AF52" s="131" t="str">
        <f>IF(TODAY()&gt;=$AI$1-6,SUM(OFFSET(ASISTENCIA!$E$1,MATCH($G52,ASISTENCIA!$E:$E,0)-1,MATCH(AF$1,ASISTENCIA!$3:$3,0)-5,1,1)),"")</f>
        <v>#N/A</v>
      </c>
      <c r="AG52" s="131" t="str">
        <f>OFFSET(ASISTENCIA!$E$1,MATCH($G52,ASISTENCIA!$E:$E,0)-1,MATCH(AG$1,ASISTENCIA!$3:$3,0)-5,1,1)</f>
        <v>#N/A</v>
      </c>
      <c r="AH52" s="131" t="str">
        <f>OFFSET(ASISTENCIA!$E$1,MATCH($G52,ASISTENCIA!$E:$E,0)-1,MATCH(AH$1,ASISTENCIA!$3:$3,0)-5,1,1)</f>
        <v>#N/A</v>
      </c>
      <c r="AI52" s="136" t="str">
        <f>IF(TODAY()&gt;=$AI$1-6,SUM(OFFSET(DEVO!$F$1,MATCH($G52,DEVO!$E:$E,0)-1,MATCH(AF$1,DEVO!$1:$1,0)-6,1,7)),"")</f>
        <v>#N/A</v>
      </c>
      <c r="AJ52" s="131" t="str">
        <f>IF(TODAY()&gt;=$AM$1-6,SUM(OFFSET(ASISTENCIA!$E$1,MATCH($G52,ASISTENCIA!$E:$E,0)-1,MATCH(AJ$1,ASISTENCIA!$3:$3,0)-5,1,1)),"")</f>
        <v>#N/A</v>
      </c>
      <c r="AK52" s="131" t="str">
        <f>OFFSET(ASISTENCIA!$E$1,MATCH($G52,ASISTENCIA!$E:$E,0)-1,MATCH(AK$1,ASISTENCIA!$3:$3,0)-5,1,1)</f>
        <v>#N/A</v>
      </c>
      <c r="AL52" s="131" t="str">
        <f>OFFSET(ASISTENCIA!$E$1,MATCH($G52,ASISTENCIA!$E:$E,0)-1,MATCH(AL$1,ASISTENCIA!$3:$3,0)-5,1,1)</f>
        <v>#N/A</v>
      </c>
      <c r="AM52" s="136" t="str">
        <f>IF(TODAY()&gt;=$AM$1-6,SUM(OFFSET(DEVO!$F$1,MATCH($G52,DEVO!$E:$E,0)-1,MATCH(AJ$1,DEVO!$1:$1,0)-6,1,7)),"")</f>
        <v>#N/A</v>
      </c>
      <c r="AN52" s="131" t="str">
        <f>IF(TODAY()&gt;=$AQ$1-6,SUM(OFFSET(ASISTENCIA!$E$1,MATCH($G52,ASISTENCIA!$E:$E,0)-1,MATCH(AN$1,ASISTENCIA!$3:$3,0)-5,1,1)),"")</f>
        <v>#N/A</v>
      </c>
      <c r="AO52" s="131" t="str">
        <f>OFFSET(ASISTENCIA!$E$1,MATCH($G52,ASISTENCIA!$E:$E,0)-1,MATCH(AO$1,ASISTENCIA!$3:$3,0)-5,1,1)</f>
        <v>#N/A</v>
      </c>
      <c r="AP52" s="131" t="str">
        <f>OFFSET(ASISTENCIA!$E$1,MATCH($G52,ASISTENCIA!$E:$E,0)-1,MATCH(AP$1,ASISTENCIA!$3:$3,0)-5,1,1)</f>
        <v>#N/A</v>
      </c>
      <c r="AQ52" s="136" t="str">
        <f>IF(TODAY()&gt;=$AQ$1-6,SUM(OFFSET(DEVO!$F$1,MATCH($G52,DEVO!$E:$E,0)-1,MATCH(AN$1,DEVO!$1:$1,0)-6,1,7)),"")</f>
        <v>#N/A</v>
      </c>
      <c r="AR52" s="131" t="str">
        <f>IF(TODAY()&gt;=$AU$1-6,SUM(OFFSET(ASISTENCIA!$E$1,MATCH($G52,ASISTENCIA!$E:$E,0)-1,MATCH(AR$1,ASISTENCIA!$3:$3,0)-5,1,1)),"")</f>
        <v>#N/A</v>
      </c>
      <c r="AS52" s="131" t="str">
        <f>OFFSET(ASISTENCIA!$E$1,MATCH($G52,ASISTENCIA!$E:$E,0)-1,MATCH(AS$1,ASISTENCIA!$3:$3,0)-5,1,1)</f>
        <v>#N/A</v>
      </c>
      <c r="AT52" s="131" t="str">
        <f>OFFSET(ASISTENCIA!$E$1,MATCH($G52,ASISTENCIA!$E:$E,0)-1,MATCH(AT$1,ASISTENCIA!$3:$3,0)-5,1,1)</f>
        <v>#N/A</v>
      </c>
      <c r="AU52" s="136" t="str">
        <f>IF(TODAY()&gt;=$AU$1-6,SUM(OFFSET(DEVO!$F$1,MATCH($G52,DEVO!$E:$E,0)-1,MATCH(AR$1,DEVO!$1:$1,0)-6,1,7)),"")</f>
        <v>#N/A</v>
      </c>
      <c r="AV52" s="131" t="str">
        <f>OFFSET(ASISTENCIA!$E$1,MATCH($G52,ASISTENCIA!$E:$E,0)-1,MATCH(AV$1,ASISTENCIA!$3:$3,0)-5,1,1)</f>
        <v>#N/A</v>
      </c>
      <c r="AW52" s="131" t="str">
        <f>OFFSET(ASISTENCIA!$E$1,MATCH($G52,ASISTENCIA!$E:$E,0)-1,MATCH(AW$1,ASISTENCIA!$3:$3,0)-5,1,1)</f>
        <v>#N/A</v>
      </c>
      <c r="AY52" s="173">
        <f t="shared" si="2"/>
        <v>0</v>
      </c>
      <c r="AZ52" s="174">
        <f t="shared" si="3"/>
        <v>0</v>
      </c>
      <c r="BA52" s="174">
        <f t="shared" si="4"/>
        <v>0</v>
      </c>
      <c r="BB52" s="174">
        <f t="shared" si="5"/>
        <v>0</v>
      </c>
      <c r="BC52" s="174">
        <f t="shared" si="6"/>
        <v>0</v>
      </c>
      <c r="BD52" s="174">
        <f t="shared" si="7"/>
        <v>0</v>
      </c>
      <c r="BE52" s="174">
        <f t="shared" si="8"/>
        <v>0</v>
      </c>
      <c r="BF52" s="174">
        <f t="shared" si="9"/>
        <v>0</v>
      </c>
      <c r="BG52" s="174">
        <f t="shared" si="10"/>
        <v>0</v>
      </c>
      <c r="BH52" s="152">
        <f t="shared" si="11"/>
        <v>0</v>
      </c>
      <c r="BI52" s="153" t="str">
        <f t="shared" si="12"/>
        <v>OBSERVADOS</v>
      </c>
      <c r="BJ52" s="175" t="str">
        <f t="shared" si="13"/>
        <v>#N/A</v>
      </c>
      <c r="BK52" s="176" t="str">
        <f t="shared" si="14"/>
        <v>#N/A</v>
      </c>
      <c r="BL52" s="176" t="str">
        <f t="shared" si="15"/>
        <v>#N/A</v>
      </c>
      <c r="BM52" s="176" t="str">
        <f t="shared" si="16"/>
        <v>#N/A</v>
      </c>
      <c r="BN52" s="176" t="str">
        <f t="shared" si="17"/>
        <v>#N/A</v>
      </c>
      <c r="BO52" s="176" t="str">
        <f t="shared" si="18"/>
        <v>#N/A</v>
      </c>
      <c r="BP52" s="176" t="str">
        <f t="shared" si="19"/>
        <v>#N/A</v>
      </c>
      <c r="BQ52" s="176" t="str">
        <f t="shared" si="20"/>
        <v>#N/A</v>
      </c>
      <c r="BR52" s="176" t="str">
        <f t="shared" si="21"/>
        <v>#N/A</v>
      </c>
      <c r="BS52" s="207" t="str">
        <f>OFFSET(ASISTENCIA!$E$1,MATCH($G52,ASISTENCIA!$E:$E,0)-1,MATCH(BS$1,ASISTENCIA!$3:$3,0)-5,1,1)</f>
        <v>#N/A</v>
      </c>
      <c r="BT52" s="207" t="str">
        <f>OFFSET(ASISTENCIA!$E$1,MATCH($G52,ASISTENCIA!$E:$E,0)-1,MATCH(BT$1,ASISTENCIA!$3:$3,0)-5,1,1)</f>
        <v>#N/A</v>
      </c>
      <c r="BU52" s="215" t="str">
        <f>OFFSET(ASISTENCIA!$E$1,MATCH($G52,ASISTENCIA!$E:$E,0)-1,MATCH(BU$1,ASISTENCIA!$3:$3,0)-5,1,1)</f>
        <v>#N/A</v>
      </c>
      <c r="BV52" s="215" t="str">
        <f>OFFSET(ASISTENCIA!$E$1,MATCH($G52,ASISTENCIA!$E:$E,0)-1,MATCH(BV$1,ASISTENCIA!$3:$3,0)-5,1,1)</f>
        <v>#N/A</v>
      </c>
      <c r="BW52" s="55"/>
      <c r="BX52" s="55"/>
      <c r="BY52" s="55"/>
    </row>
    <row r="53">
      <c r="A53" s="123">
        <f t="shared" si="22"/>
        <v>50</v>
      </c>
      <c r="B53" s="127"/>
      <c r="C53" s="128"/>
      <c r="D53" s="128"/>
      <c r="E53" s="127"/>
      <c r="F53" s="127"/>
      <c r="G53" s="128"/>
      <c r="H53" s="128"/>
      <c r="I53" s="129"/>
      <c r="J53" s="129" t="str">
        <f>DEVO!F54</f>
        <v/>
      </c>
      <c r="K53" s="129" t="str">
        <f t="shared" si="1"/>
        <v/>
      </c>
      <c r="L53" s="131" t="str">
        <f>IF(TODAY()&gt;=$O$1-6,SUM(OFFSET(ASISTENCIA!$E$1,MATCH($G53,ASISTENCIA!$E:$E,0)-1,MATCH(L$1,ASISTENCIA!$3:$3,0)-5,1,1)),"")</f>
        <v>#N/A</v>
      </c>
      <c r="M53" s="131" t="str">
        <f>OFFSET(ASISTENCIA!$E$1,MATCH($G53,ASISTENCIA!$E:$E,0)-1,MATCH(M$1,ASISTENCIA!$3:$3,0)-5,1,1)</f>
        <v>#N/A</v>
      </c>
      <c r="N53" s="131" t="str">
        <f>OFFSET(ASISTENCIA!$E$1,MATCH($G53,ASISTENCIA!$E:$E,0)-1,MATCH(N$1,ASISTENCIA!$3:$3,0)-5,1,1)</f>
        <v>#N/A</v>
      </c>
      <c r="O53" s="136" t="str">
        <f>IF(TODAY()&gt;=$O$1-6,SUM(OFFSET(DEVO!$F$1,MATCH($G53,DEVO!$E:$E,0)-1,MATCH(L$1,DEVO!$1:$1,0)-6,1,7)),"")</f>
        <v>#N/A</v>
      </c>
      <c r="P53" s="131" t="str">
        <f>IF(TODAY()&gt;=$S$1-6,SUM(OFFSET(ASISTENCIA!$E$1,MATCH($G53,ASISTENCIA!$E:$E,0)-1,MATCH(P$1,ASISTENCIA!$3:$3,0)-5,1,1)),"")</f>
        <v>#N/A</v>
      </c>
      <c r="Q53" s="131" t="str">
        <f>OFFSET(ASISTENCIA!$E$1,MATCH($G53,ASISTENCIA!$E:$E,0)-1,MATCH(Q$1,ASISTENCIA!$3:$3,0)-5,1,1)</f>
        <v>#N/A</v>
      </c>
      <c r="R53" s="131" t="str">
        <f>OFFSET(ASISTENCIA!$E$1,MATCH($G53,ASISTENCIA!$E:$E,0)-1,MATCH(R$1,ASISTENCIA!$3:$3,0)-5,1,1)</f>
        <v>#N/A</v>
      </c>
      <c r="S53" s="136" t="str">
        <f>IF(TODAY()&gt;=$S$1-6,SUM(OFFSET(DEVO!$F$1,MATCH($G53,DEVO!$E:$E,0)-1,MATCH(P$1,DEVO!$1:$1,0)-6,1,7)),"")</f>
        <v>#N/A</v>
      </c>
      <c r="T53" s="131" t="str">
        <f>IF(TODAY()&gt;=$W$1-6,SUM(OFFSET(ASISTENCIA!$E$1,MATCH($G53,ASISTENCIA!$E:$E,0)-1,MATCH(T$1,ASISTENCIA!$3:$3,0)-5,1,1)),"")</f>
        <v>#N/A</v>
      </c>
      <c r="U53" s="131" t="str">
        <f>OFFSET(ASISTENCIA!$E$1,MATCH($G53,ASISTENCIA!$E:$E,0)-1,MATCH(U$1,ASISTENCIA!$3:$3,0)-5,1,1)</f>
        <v>#N/A</v>
      </c>
      <c r="V53" s="131" t="str">
        <f>OFFSET(ASISTENCIA!$E$1,MATCH($G53,ASISTENCIA!$E:$E,0)-1,MATCH(V$1,ASISTENCIA!$3:$3,0)-5,1,1)</f>
        <v>#N/A</v>
      </c>
      <c r="W53" s="136" t="str">
        <f>IF(TODAY()&gt;=$W$1-6,SUM(OFFSET(DEVO!$F$1,MATCH($G53,DEVO!$E:$E,0)-1,MATCH(T$1,DEVO!$1:$1,0)-6,1,7)),"")</f>
        <v>#N/A</v>
      </c>
      <c r="X53" s="131" t="str">
        <f>IF(TODAY()&gt;=$AA$1-6,SUM(OFFSET(ASISTENCIA!$E$1,MATCH($G53,ASISTENCIA!$E:$E,0)-1,MATCH(X$1,ASISTENCIA!$3:$3,0)-5,1,1)),"")</f>
        <v>#N/A</v>
      </c>
      <c r="Y53" s="131" t="str">
        <f>OFFSET(ASISTENCIA!$E$1,MATCH($G53,ASISTENCIA!$E:$E,0)-1,MATCH(Y$1,ASISTENCIA!$3:$3,0)-5,1,1)</f>
        <v>#N/A</v>
      </c>
      <c r="Z53" s="131" t="str">
        <f>OFFSET(ASISTENCIA!$E$1,MATCH($G53,ASISTENCIA!$E:$E,0)-1,MATCH(Z$1,ASISTENCIA!$3:$3,0)-5,1,1)</f>
        <v>#N/A</v>
      </c>
      <c r="AA53" s="136" t="str">
        <f>IF(TODAY()&gt;=$AA$1-6,SUM(OFFSET(DEVO!$F$1,MATCH($G53,DEVO!$E:$E,0)-1,MATCH(X$1,DEVO!$1:$1,0)-6,1,7)),"")</f>
        <v>#N/A</v>
      </c>
      <c r="AB53" s="131" t="str">
        <f>IF(TODAY()&gt;=$AE$1-6,SUM(OFFSET(ASISTENCIA!$E$1,MATCH($G53,ASISTENCIA!$E:$E,0)-1,MATCH(AB$1,ASISTENCIA!$3:$3,0)-5,1,1)),"")</f>
        <v>#N/A</v>
      </c>
      <c r="AC53" s="131" t="str">
        <f>OFFSET(ASISTENCIA!$E$1,MATCH($G53,ASISTENCIA!$E:$E,0)-1,MATCH(AC$1,ASISTENCIA!$3:$3,0)-5,1,1)</f>
        <v>#N/A</v>
      </c>
      <c r="AD53" s="131" t="str">
        <f>OFFSET(ASISTENCIA!$E$1,MATCH($G53,ASISTENCIA!$E:$E,0)-1,MATCH(AD$1,ASISTENCIA!$3:$3,0)-5,1,1)</f>
        <v>#N/A</v>
      </c>
      <c r="AE53" s="136" t="str">
        <f>IF(TODAY()&gt;=$AE$1-6,SUM(OFFSET(DEVO!$F$1,MATCH($G53,DEVO!$E:$E,0)-1,MATCH(AB$1,DEVO!$1:$1,0)-6,1,7)),"")</f>
        <v>#N/A</v>
      </c>
      <c r="AF53" s="131" t="str">
        <f>IF(TODAY()&gt;=$AI$1-6,SUM(OFFSET(ASISTENCIA!$E$1,MATCH($G53,ASISTENCIA!$E:$E,0)-1,MATCH(AF$1,ASISTENCIA!$3:$3,0)-5,1,1)),"")</f>
        <v>#N/A</v>
      </c>
      <c r="AG53" s="131" t="str">
        <f>OFFSET(ASISTENCIA!$E$1,MATCH($G53,ASISTENCIA!$E:$E,0)-1,MATCH(AG$1,ASISTENCIA!$3:$3,0)-5,1,1)</f>
        <v>#N/A</v>
      </c>
      <c r="AH53" s="131" t="str">
        <f>OFFSET(ASISTENCIA!$E$1,MATCH($G53,ASISTENCIA!$E:$E,0)-1,MATCH(AH$1,ASISTENCIA!$3:$3,0)-5,1,1)</f>
        <v>#N/A</v>
      </c>
      <c r="AI53" s="136" t="str">
        <f>IF(TODAY()&gt;=$AI$1-6,SUM(OFFSET(DEVO!$F$1,MATCH($G53,DEVO!$E:$E,0)-1,MATCH(AF$1,DEVO!$1:$1,0)-6,1,7)),"")</f>
        <v>#N/A</v>
      </c>
      <c r="AJ53" s="131" t="str">
        <f>IF(TODAY()&gt;=$AM$1-6,SUM(OFFSET(ASISTENCIA!$E$1,MATCH($G53,ASISTENCIA!$E:$E,0)-1,MATCH(AJ$1,ASISTENCIA!$3:$3,0)-5,1,1)),"")</f>
        <v>#N/A</v>
      </c>
      <c r="AK53" s="131" t="str">
        <f>OFFSET(ASISTENCIA!$E$1,MATCH($G53,ASISTENCIA!$E:$E,0)-1,MATCH(AK$1,ASISTENCIA!$3:$3,0)-5,1,1)</f>
        <v>#N/A</v>
      </c>
      <c r="AL53" s="131" t="str">
        <f>OFFSET(ASISTENCIA!$E$1,MATCH($G53,ASISTENCIA!$E:$E,0)-1,MATCH(AL$1,ASISTENCIA!$3:$3,0)-5,1,1)</f>
        <v>#N/A</v>
      </c>
      <c r="AM53" s="136" t="str">
        <f>IF(TODAY()&gt;=$AM$1-6,SUM(OFFSET(DEVO!$F$1,MATCH($G53,DEVO!$E:$E,0)-1,MATCH(AJ$1,DEVO!$1:$1,0)-6,1,7)),"")</f>
        <v>#N/A</v>
      </c>
      <c r="AN53" s="131" t="str">
        <f>IF(TODAY()&gt;=$AQ$1-6,SUM(OFFSET(ASISTENCIA!$E$1,MATCH($G53,ASISTENCIA!$E:$E,0)-1,MATCH(AN$1,ASISTENCIA!$3:$3,0)-5,1,1)),"")</f>
        <v>#N/A</v>
      </c>
      <c r="AO53" s="131" t="str">
        <f>OFFSET(ASISTENCIA!$E$1,MATCH($G53,ASISTENCIA!$E:$E,0)-1,MATCH(AO$1,ASISTENCIA!$3:$3,0)-5,1,1)</f>
        <v>#N/A</v>
      </c>
      <c r="AP53" s="131" t="str">
        <f>OFFSET(ASISTENCIA!$E$1,MATCH($G53,ASISTENCIA!$E:$E,0)-1,MATCH(AP$1,ASISTENCIA!$3:$3,0)-5,1,1)</f>
        <v>#N/A</v>
      </c>
      <c r="AQ53" s="136" t="str">
        <f>IF(TODAY()&gt;=$AQ$1-6,SUM(OFFSET(DEVO!$F$1,MATCH($G53,DEVO!$E:$E,0)-1,MATCH(AN$1,DEVO!$1:$1,0)-6,1,7)),"")</f>
        <v>#N/A</v>
      </c>
      <c r="AR53" s="131" t="str">
        <f>IF(TODAY()&gt;=$AU$1-6,SUM(OFFSET(ASISTENCIA!$E$1,MATCH($G53,ASISTENCIA!$E:$E,0)-1,MATCH(AR$1,ASISTENCIA!$3:$3,0)-5,1,1)),"")</f>
        <v>#N/A</v>
      </c>
      <c r="AS53" s="131" t="str">
        <f>OFFSET(ASISTENCIA!$E$1,MATCH($G53,ASISTENCIA!$E:$E,0)-1,MATCH(AS$1,ASISTENCIA!$3:$3,0)-5,1,1)</f>
        <v>#N/A</v>
      </c>
      <c r="AT53" s="131" t="str">
        <f>OFFSET(ASISTENCIA!$E$1,MATCH($G53,ASISTENCIA!$E:$E,0)-1,MATCH(AT$1,ASISTENCIA!$3:$3,0)-5,1,1)</f>
        <v>#N/A</v>
      </c>
      <c r="AU53" s="136" t="str">
        <f>IF(TODAY()&gt;=$AU$1-6,SUM(OFFSET(DEVO!$F$1,MATCH($G53,DEVO!$E:$E,0)-1,MATCH(AR$1,DEVO!$1:$1,0)-6,1,7)),"")</f>
        <v>#N/A</v>
      </c>
      <c r="AV53" s="131" t="str">
        <f>OFFSET(ASISTENCIA!$E$1,MATCH($G53,ASISTENCIA!$E:$E,0)-1,MATCH(AV$1,ASISTENCIA!$3:$3,0)-5,1,1)</f>
        <v>#N/A</v>
      </c>
      <c r="AW53" s="131" t="str">
        <f>OFFSET(ASISTENCIA!$E$1,MATCH($G53,ASISTENCIA!$E:$E,0)-1,MATCH(AW$1,ASISTENCIA!$3:$3,0)-5,1,1)</f>
        <v>#N/A</v>
      </c>
      <c r="AY53" s="173">
        <f t="shared" si="2"/>
        <v>0</v>
      </c>
      <c r="AZ53" s="174">
        <f t="shared" si="3"/>
        <v>0</v>
      </c>
      <c r="BA53" s="174">
        <f t="shared" si="4"/>
        <v>0</v>
      </c>
      <c r="BB53" s="174">
        <f t="shared" si="5"/>
        <v>0</v>
      </c>
      <c r="BC53" s="174">
        <f t="shared" si="6"/>
        <v>0</v>
      </c>
      <c r="BD53" s="174">
        <f t="shared" si="7"/>
        <v>0</v>
      </c>
      <c r="BE53" s="174">
        <f t="shared" si="8"/>
        <v>0</v>
      </c>
      <c r="BF53" s="174">
        <f t="shared" si="9"/>
        <v>0</v>
      </c>
      <c r="BG53" s="174">
        <f t="shared" si="10"/>
        <v>0</v>
      </c>
      <c r="BH53" s="152">
        <f t="shared" si="11"/>
        <v>0</v>
      </c>
      <c r="BI53" s="153" t="str">
        <f t="shared" si="12"/>
        <v>OBSERVADOS</v>
      </c>
      <c r="BJ53" s="175" t="str">
        <f t="shared" si="13"/>
        <v>#N/A</v>
      </c>
      <c r="BK53" s="176" t="str">
        <f t="shared" si="14"/>
        <v>#N/A</v>
      </c>
      <c r="BL53" s="176" t="str">
        <f t="shared" si="15"/>
        <v>#N/A</v>
      </c>
      <c r="BM53" s="176" t="str">
        <f t="shared" si="16"/>
        <v>#N/A</v>
      </c>
      <c r="BN53" s="176" t="str">
        <f t="shared" si="17"/>
        <v>#N/A</v>
      </c>
      <c r="BO53" s="176" t="str">
        <f t="shared" si="18"/>
        <v>#N/A</v>
      </c>
      <c r="BP53" s="176" t="str">
        <f t="shared" si="19"/>
        <v>#N/A</v>
      </c>
      <c r="BQ53" s="176" t="str">
        <f t="shared" si="20"/>
        <v>#N/A</v>
      </c>
      <c r="BR53" s="176" t="str">
        <f t="shared" si="21"/>
        <v>#N/A</v>
      </c>
      <c r="BS53" s="207" t="str">
        <f>OFFSET(ASISTENCIA!$E$1,MATCH($G53,ASISTENCIA!$E:$E,0)-1,MATCH(BS$1,ASISTENCIA!$3:$3,0)-5,1,1)</f>
        <v>#N/A</v>
      </c>
      <c r="BT53" s="207" t="str">
        <f>OFFSET(ASISTENCIA!$E$1,MATCH($G53,ASISTENCIA!$E:$E,0)-1,MATCH(BT$1,ASISTENCIA!$3:$3,0)-5,1,1)</f>
        <v>#N/A</v>
      </c>
      <c r="BU53" s="215" t="str">
        <f>OFFSET(ASISTENCIA!$E$1,MATCH($G53,ASISTENCIA!$E:$E,0)-1,MATCH(BU$1,ASISTENCIA!$3:$3,0)-5,1,1)</f>
        <v>#N/A</v>
      </c>
      <c r="BV53" s="215" t="str">
        <f>OFFSET(ASISTENCIA!$E$1,MATCH($G53,ASISTENCIA!$E:$E,0)-1,MATCH(BV$1,ASISTENCIA!$3:$3,0)-5,1,1)</f>
        <v>#N/A</v>
      </c>
      <c r="BW53" s="55"/>
      <c r="BX53" s="55"/>
      <c r="BY53" s="55"/>
    </row>
    <row r="54">
      <c r="A54" s="123">
        <f t="shared" si="22"/>
        <v>51</v>
      </c>
      <c r="B54" s="127"/>
      <c r="C54" s="128"/>
      <c r="D54" s="128"/>
      <c r="E54" s="127"/>
      <c r="F54" s="127"/>
      <c r="G54" s="128"/>
      <c r="H54" s="128"/>
      <c r="I54" s="129"/>
      <c r="J54" s="129" t="str">
        <f>DEVO!F55</f>
        <v/>
      </c>
      <c r="K54" s="129" t="str">
        <f t="shared" si="1"/>
        <v/>
      </c>
      <c r="L54" s="131" t="str">
        <f>IF(TODAY()&gt;=$O$1-6,SUM(OFFSET(ASISTENCIA!$E$1,MATCH($G54,ASISTENCIA!$E:$E,0)-1,MATCH(L$1,ASISTENCIA!$3:$3,0)-5,1,1)),"")</f>
        <v>#N/A</v>
      </c>
      <c r="M54" s="131" t="str">
        <f>OFFSET(ASISTENCIA!$E$1,MATCH($G54,ASISTENCIA!$E:$E,0)-1,MATCH(M$1,ASISTENCIA!$3:$3,0)-5,1,1)</f>
        <v>#N/A</v>
      </c>
      <c r="N54" s="131" t="str">
        <f>OFFSET(ASISTENCIA!$E$1,MATCH($G54,ASISTENCIA!$E:$E,0)-1,MATCH(N$1,ASISTENCIA!$3:$3,0)-5,1,1)</f>
        <v>#N/A</v>
      </c>
      <c r="O54" s="136" t="str">
        <f>IF(TODAY()&gt;=$O$1-6,SUM(OFFSET(DEVO!$F$1,MATCH($G54,DEVO!$E:$E,0)-1,MATCH(L$1,DEVO!$1:$1,0)-6,1,7)),"")</f>
        <v>#N/A</v>
      </c>
      <c r="P54" s="131" t="str">
        <f>IF(TODAY()&gt;=$S$1-6,SUM(OFFSET(ASISTENCIA!$E$1,MATCH($G54,ASISTENCIA!$E:$E,0)-1,MATCH(P$1,ASISTENCIA!$3:$3,0)-5,1,1)),"")</f>
        <v>#N/A</v>
      </c>
      <c r="Q54" s="131" t="str">
        <f>OFFSET(ASISTENCIA!$E$1,MATCH($G54,ASISTENCIA!$E:$E,0)-1,MATCH(Q$1,ASISTENCIA!$3:$3,0)-5,1,1)</f>
        <v>#N/A</v>
      </c>
      <c r="R54" s="131" t="str">
        <f>OFFSET(ASISTENCIA!$E$1,MATCH($G54,ASISTENCIA!$E:$E,0)-1,MATCH(R$1,ASISTENCIA!$3:$3,0)-5,1,1)</f>
        <v>#N/A</v>
      </c>
      <c r="S54" s="136" t="str">
        <f>IF(TODAY()&gt;=$S$1-6,SUM(OFFSET(DEVO!$F$1,MATCH($G54,DEVO!$E:$E,0)-1,MATCH(P$1,DEVO!$1:$1,0)-6,1,7)),"")</f>
        <v>#N/A</v>
      </c>
      <c r="T54" s="131" t="str">
        <f>IF(TODAY()&gt;=$W$1-6,SUM(OFFSET(ASISTENCIA!$E$1,MATCH($G54,ASISTENCIA!$E:$E,0)-1,MATCH(T$1,ASISTENCIA!$3:$3,0)-5,1,1)),"")</f>
        <v>#N/A</v>
      </c>
      <c r="U54" s="131" t="str">
        <f>OFFSET(ASISTENCIA!$E$1,MATCH($G54,ASISTENCIA!$E:$E,0)-1,MATCH(U$1,ASISTENCIA!$3:$3,0)-5,1,1)</f>
        <v>#N/A</v>
      </c>
      <c r="V54" s="131" t="str">
        <f>OFFSET(ASISTENCIA!$E$1,MATCH($G54,ASISTENCIA!$E:$E,0)-1,MATCH(V$1,ASISTENCIA!$3:$3,0)-5,1,1)</f>
        <v>#N/A</v>
      </c>
      <c r="W54" s="136" t="str">
        <f>IF(TODAY()&gt;=$W$1-6,SUM(OFFSET(DEVO!$F$1,MATCH($G54,DEVO!$E:$E,0)-1,MATCH(T$1,DEVO!$1:$1,0)-6,1,7)),"")</f>
        <v>#N/A</v>
      </c>
      <c r="X54" s="131" t="str">
        <f>IF(TODAY()&gt;=$AA$1-6,SUM(OFFSET(ASISTENCIA!$E$1,MATCH($G54,ASISTENCIA!$E:$E,0)-1,MATCH(X$1,ASISTENCIA!$3:$3,0)-5,1,1)),"")</f>
        <v>#N/A</v>
      </c>
      <c r="Y54" s="131" t="str">
        <f>OFFSET(ASISTENCIA!$E$1,MATCH($G54,ASISTENCIA!$E:$E,0)-1,MATCH(Y$1,ASISTENCIA!$3:$3,0)-5,1,1)</f>
        <v>#N/A</v>
      </c>
      <c r="Z54" s="131" t="str">
        <f>OFFSET(ASISTENCIA!$E$1,MATCH($G54,ASISTENCIA!$E:$E,0)-1,MATCH(Z$1,ASISTENCIA!$3:$3,0)-5,1,1)</f>
        <v>#N/A</v>
      </c>
      <c r="AA54" s="136" t="str">
        <f>IF(TODAY()&gt;=$AA$1-6,SUM(OFFSET(DEVO!$F$1,MATCH($G54,DEVO!$E:$E,0)-1,MATCH(X$1,DEVO!$1:$1,0)-6,1,7)),"")</f>
        <v>#N/A</v>
      </c>
      <c r="AB54" s="131" t="str">
        <f>IF(TODAY()&gt;=$AE$1-6,SUM(OFFSET(ASISTENCIA!$E$1,MATCH($G54,ASISTENCIA!$E:$E,0)-1,MATCH(AB$1,ASISTENCIA!$3:$3,0)-5,1,1)),"")</f>
        <v>#N/A</v>
      </c>
      <c r="AC54" s="131" t="str">
        <f>OFFSET(ASISTENCIA!$E$1,MATCH($G54,ASISTENCIA!$E:$E,0)-1,MATCH(AC$1,ASISTENCIA!$3:$3,0)-5,1,1)</f>
        <v>#N/A</v>
      </c>
      <c r="AD54" s="131" t="str">
        <f>OFFSET(ASISTENCIA!$E$1,MATCH($G54,ASISTENCIA!$E:$E,0)-1,MATCH(AD$1,ASISTENCIA!$3:$3,0)-5,1,1)</f>
        <v>#N/A</v>
      </c>
      <c r="AE54" s="136" t="str">
        <f>IF(TODAY()&gt;=$AE$1-6,SUM(OFFSET(DEVO!$F$1,MATCH($G54,DEVO!$E:$E,0)-1,MATCH(AB$1,DEVO!$1:$1,0)-6,1,7)),"")</f>
        <v>#N/A</v>
      </c>
      <c r="AF54" s="131" t="str">
        <f>IF(TODAY()&gt;=$AI$1-6,SUM(OFFSET(ASISTENCIA!$E$1,MATCH($G54,ASISTENCIA!$E:$E,0)-1,MATCH(AF$1,ASISTENCIA!$3:$3,0)-5,1,1)),"")</f>
        <v>#N/A</v>
      </c>
      <c r="AG54" s="131" t="str">
        <f>OFFSET(ASISTENCIA!$E$1,MATCH($G54,ASISTENCIA!$E:$E,0)-1,MATCH(AG$1,ASISTENCIA!$3:$3,0)-5,1,1)</f>
        <v>#N/A</v>
      </c>
      <c r="AH54" s="131" t="str">
        <f>OFFSET(ASISTENCIA!$E$1,MATCH($G54,ASISTENCIA!$E:$E,0)-1,MATCH(AH$1,ASISTENCIA!$3:$3,0)-5,1,1)</f>
        <v>#N/A</v>
      </c>
      <c r="AI54" s="136" t="str">
        <f>IF(TODAY()&gt;=$AI$1-6,SUM(OFFSET(DEVO!$F$1,MATCH($G54,DEVO!$E:$E,0)-1,MATCH(AF$1,DEVO!$1:$1,0)-6,1,7)),"")</f>
        <v>#N/A</v>
      </c>
      <c r="AJ54" s="131" t="str">
        <f>IF(TODAY()&gt;=$AM$1-6,SUM(OFFSET(ASISTENCIA!$E$1,MATCH($G54,ASISTENCIA!$E:$E,0)-1,MATCH(AJ$1,ASISTENCIA!$3:$3,0)-5,1,1)),"")</f>
        <v>#N/A</v>
      </c>
      <c r="AK54" s="131" t="str">
        <f>OFFSET(ASISTENCIA!$E$1,MATCH($G54,ASISTENCIA!$E:$E,0)-1,MATCH(AK$1,ASISTENCIA!$3:$3,0)-5,1,1)</f>
        <v>#N/A</v>
      </c>
      <c r="AL54" s="131" t="str">
        <f>OFFSET(ASISTENCIA!$E$1,MATCH($G54,ASISTENCIA!$E:$E,0)-1,MATCH(AL$1,ASISTENCIA!$3:$3,0)-5,1,1)</f>
        <v>#N/A</v>
      </c>
      <c r="AM54" s="136" t="str">
        <f>IF(TODAY()&gt;=$AM$1-6,SUM(OFFSET(DEVO!$F$1,MATCH($G54,DEVO!$E:$E,0)-1,MATCH(AJ$1,DEVO!$1:$1,0)-6,1,7)),"")</f>
        <v>#N/A</v>
      </c>
      <c r="AN54" s="131" t="str">
        <f>IF(TODAY()&gt;=$AQ$1-6,SUM(OFFSET(ASISTENCIA!$E$1,MATCH($G54,ASISTENCIA!$E:$E,0)-1,MATCH(AN$1,ASISTENCIA!$3:$3,0)-5,1,1)),"")</f>
        <v>#N/A</v>
      </c>
      <c r="AO54" s="131" t="str">
        <f>OFFSET(ASISTENCIA!$E$1,MATCH($G54,ASISTENCIA!$E:$E,0)-1,MATCH(AO$1,ASISTENCIA!$3:$3,0)-5,1,1)</f>
        <v>#N/A</v>
      </c>
      <c r="AP54" s="131" t="str">
        <f>OFFSET(ASISTENCIA!$E$1,MATCH($G54,ASISTENCIA!$E:$E,0)-1,MATCH(AP$1,ASISTENCIA!$3:$3,0)-5,1,1)</f>
        <v>#N/A</v>
      </c>
      <c r="AQ54" s="136" t="str">
        <f>IF(TODAY()&gt;=$AQ$1-6,SUM(OFFSET(DEVO!$F$1,MATCH($G54,DEVO!$E:$E,0)-1,MATCH(AN$1,DEVO!$1:$1,0)-6,1,7)),"")</f>
        <v>#N/A</v>
      </c>
      <c r="AR54" s="131" t="str">
        <f>IF(TODAY()&gt;=$AU$1-6,SUM(OFFSET(ASISTENCIA!$E$1,MATCH($G54,ASISTENCIA!$E:$E,0)-1,MATCH(AR$1,ASISTENCIA!$3:$3,0)-5,1,1)),"")</f>
        <v>#N/A</v>
      </c>
      <c r="AS54" s="131" t="str">
        <f>OFFSET(ASISTENCIA!$E$1,MATCH($G54,ASISTENCIA!$E:$E,0)-1,MATCH(AS$1,ASISTENCIA!$3:$3,0)-5,1,1)</f>
        <v>#N/A</v>
      </c>
      <c r="AT54" s="131" t="str">
        <f>OFFSET(ASISTENCIA!$E$1,MATCH($G54,ASISTENCIA!$E:$E,0)-1,MATCH(AT$1,ASISTENCIA!$3:$3,0)-5,1,1)</f>
        <v>#N/A</v>
      </c>
      <c r="AU54" s="136" t="str">
        <f>IF(TODAY()&gt;=$AU$1-6,SUM(OFFSET(DEVO!$F$1,MATCH($G54,DEVO!$E:$E,0)-1,MATCH(AR$1,DEVO!$1:$1,0)-6,1,7)),"")</f>
        <v>#N/A</v>
      </c>
      <c r="AV54" s="131" t="str">
        <f>OFFSET(ASISTENCIA!$E$1,MATCH($G54,ASISTENCIA!$E:$E,0)-1,MATCH(AV$1,ASISTENCIA!$3:$3,0)-5,1,1)</f>
        <v>#N/A</v>
      </c>
      <c r="AW54" s="131" t="str">
        <f>OFFSET(ASISTENCIA!$E$1,MATCH($G54,ASISTENCIA!$E:$E,0)-1,MATCH(AW$1,ASISTENCIA!$3:$3,0)-5,1,1)</f>
        <v>#N/A</v>
      </c>
      <c r="AY54" s="173">
        <f t="shared" si="2"/>
        <v>0</v>
      </c>
      <c r="AZ54" s="174">
        <f t="shared" si="3"/>
        <v>0</v>
      </c>
      <c r="BA54" s="174">
        <f t="shared" si="4"/>
        <v>0</v>
      </c>
      <c r="BB54" s="174">
        <f t="shared" si="5"/>
        <v>0</v>
      </c>
      <c r="BC54" s="174">
        <f t="shared" si="6"/>
        <v>0</v>
      </c>
      <c r="BD54" s="174">
        <f t="shared" si="7"/>
        <v>0</v>
      </c>
      <c r="BE54" s="174">
        <f t="shared" si="8"/>
        <v>0</v>
      </c>
      <c r="BF54" s="174">
        <f t="shared" si="9"/>
        <v>0</v>
      </c>
      <c r="BG54" s="174">
        <f t="shared" si="10"/>
        <v>0</v>
      </c>
      <c r="BH54" s="152">
        <f t="shared" si="11"/>
        <v>0</v>
      </c>
      <c r="BI54" s="153" t="str">
        <f t="shared" si="12"/>
        <v>OBSERVADOS</v>
      </c>
      <c r="BJ54" s="175" t="str">
        <f t="shared" si="13"/>
        <v>#N/A</v>
      </c>
      <c r="BK54" s="176" t="str">
        <f t="shared" si="14"/>
        <v>#N/A</v>
      </c>
      <c r="BL54" s="176" t="str">
        <f t="shared" si="15"/>
        <v>#N/A</v>
      </c>
      <c r="BM54" s="176" t="str">
        <f t="shared" si="16"/>
        <v>#N/A</v>
      </c>
      <c r="BN54" s="176" t="str">
        <f t="shared" si="17"/>
        <v>#N/A</v>
      </c>
      <c r="BO54" s="176" t="str">
        <f t="shared" si="18"/>
        <v>#N/A</v>
      </c>
      <c r="BP54" s="176" t="str">
        <f t="shared" si="19"/>
        <v>#N/A</v>
      </c>
      <c r="BQ54" s="176" t="str">
        <f t="shared" si="20"/>
        <v>#N/A</v>
      </c>
      <c r="BR54" s="176" t="str">
        <f t="shared" si="21"/>
        <v>#N/A</v>
      </c>
      <c r="BS54" s="207" t="str">
        <f>OFFSET(ASISTENCIA!$E$1,MATCH($G54,ASISTENCIA!$E:$E,0)-1,MATCH(BS$1,ASISTENCIA!$3:$3,0)-5,1,1)</f>
        <v>#N/A</v>
      </c>
      <c r="BT54" s="207" t="str">
        <f>OFFSET(ASISTENCIA!$E$1,MATCH($G54,ASISTENCIA!$E:$E,0)-1,MATCH(BT$1,ASISTENCIA!$3:$3,0)-5,1,1)</f>
        <v>#N/A</v>
      </c>
      <c r="BU54" s="215" t="str">
        <f>OFFSET(ASISTENCIA!$E$1,MATCH($G54,ASISTENCIA!$E:$E,0)-1,MATCH(BU$1,ASISTENCIA!$3:$3,0)-5,1,1)</f>
        <v>#N/A</v>
      </c>
      <c r="BV54" s="215" t="str">
        <f>OFFSET(ASISTENCIA!$E$1,MATCH($G54,ASISTENCIA!$E:$E,0)-1,MATCH(BV$1,ASISTENCIA!$3:$3,0)-5,1,1)</f>
        <v>#N/A</v>
      </c>
      <c r="BW54" s="55"/>
      <c r="BX54" s="55"/>
      <c r="BY54" s="55"/>
    </row>
    <row r="55">
      <c r="A55" s="123">
        <f t="shared" si="22"/>
        <v>52</v>
      </c>
      <c r="B55" s="127"/>
      <c r="C55" s="128"/>
      <c r="D55" s="128"/>
      <c r="E55" s="127"/>
      <c r="F55" s="127"/>
      <c r="G55" s="128"/>
      <c r="H55" s="128"/>
      <c r="I55" s="129"/>
      <c r="J55" s="129" t="str">
        <f>DEVO!F56</f>
        <v/>
      </c>
      <c r="K55" s="129" t="str">
        <f t="shared" si="1"/>
        <v/>
      </c>
      <c r="L55" s="131" t="str">
        <f>IF(TODAY()&gt;=$O$1-6,SUM(OFFSET(ASISTENCIA!$E$1,MATCH($G55,ASISTENCIA!$E:$E,0)-1,MATCH(L$1,ASISTENCIA!$3:$3,0)-5,1,1)),"")</f>
        <v>#N/A</v>
      </c>
      <c r="M55" s="131" t="str">
        <f>OFFSET(ASISTENCIA!$E$1,MATCH($G55,ASISTENCIA!$E:$E,0)-1,MATCH(M$1,ASISTENCIA!$3:$3,0)-5,1,1)</f>
        <v>#N/A</v>
      </c>
      <c r="N55" s="131" t="str">
        <f>OFFSET(ASISTENCIA!$E$1,MATCH($G55,ASISTENCIA!$E:$E,0)-1,MATCH(N$1,ASISTENCIA!$3:$3,0)-5,1,1)</f>
        <v>#N/A</v>
      </c>
      <c r="O55" s="136" t="str">
        <f>IF(TODAY()&gt;=$O$1-6,SUM(OFFSET(DEVO!$F$1,MATCH($G55,DEVO!$E:$E,0)-1,MATCH(L$1,DEVO!$1:$1,0)-6,1,7)),"")</f>
        <v>#N/A</v>
      </c>
      <c r="P55" s="131" t="str">
        <f>IF(TODAY()&gt;=$S$1-6,SUM(OFFSET(ASISTENCIA!$E$1,MATCH($G55,ASISTENCIA!$E:$E,0)-1,MATCH(P$1,ASISTENCIA!$3:$3,0)-5,1,1)),"")</f>
        <v>#N/A</v>
      </c>
      <c r="Q55" s="131" t="str">
        <f>OFFSET(ASISTENCIA!$E$1,MATCH($G55,ASISTENCIA!$E:$E,0)-1,MATCH(Q$1,ASISTENCIA!$3:$3,0)-5,1,1)</f>
        <v>#N/A</v>
      </c>
      <c r="R55" s="131" t="str">
        <f>OFFSET(ASISTENCIA!$E$1,MATCH($G55,ASISTENCIA!$E:$E,0)-1,MATCH(R$1,ASISTENCIA!$3:$3,0)-5,1,1)</f>
        <v>#N/A</v>
      </c>
      <c r="S55" s="136" t="str">
        <f>IF(TODAY()&gt;=$S$1-6,SUM(OFFSET(DEVO!$F$1,MATCH($G55,DEVO!$E:$E,0)-1,MATCH(P$1,DEVO!$1:$1,0)-6,1,7)),"")</f>
        <v>#N/A</v>
      </c>
      <c r="T55" s="131" t="str">
        <f>IF(TODAY()&gt;=$W$1-6,SUM(OFFSET(ASISTENCIA!$E$1,MATCH($G55,ASISTENCIA!$E:$E,0)-1,MATCH(T$1,ASISTENCIA!$3:$3,0)-5,1,1)),"")</f>
        <v>#N/A</v>
      </c>
      <c r="U55" s="131" t="str">
        <f>OFFSET(ASISTENCIA!$E$1,MATCH($G55,ASISTENCIA!$E:$E,0)-1,MATCH(U$1,ASISTENCIA!$3:$3,0)-5,1,1)</f>
        <v>#N/A</v>
      </c>
      <c r="V55" s="131" t="str">
        <f>OFFSET(ASISTENCIA!$E$1,MATCH($G55,ASISTENCIA!$E:$E,0)-1,MATCH(V$1,ASISTENCIA!$3:$3,0)-5,1,1)</f>
        <v>#N/A</v>
      </c>
      <c r="W55" s="136" t="str">
        <f>IF(TODAY()&gt;=$W$1-6,SUM(OFFSET(DEVO!$F$1,MATCH($G55,DEVO!$E:$E,0)-1,MATCH(T$1,DEVO!$1:$1,0)-6,1,7)),"")</f>
        <v>#N/A</v>
      </c>
      <c r="X55" s="131" t="str">
        <f>IF(TODAY()&gt;=$AA$1-6,SUM(OFFSET(ASISTENCIA!$E$1,MATCH($G55,ASISTENCIA!$E:$E,0)-1,MATCH(X$1,ASISTENCIA!$3:$3,0)-5,1,1)),"")</f>
        <v>#N/A</v>
      </c>
      <c r="Y55" s="131" t="str">
        <f>OFFSET(ASISTENCIA!$E$1,MATCH($G55,ASISTENCIA!$E:$E,0)-1,MATCH(Y$1,ASISTENCIA!$3:$3,0)-5,1,1)</f>
        <v>#N/A</v>
      </c>
      <c r="Z55" s="131" t="str">
        <f>OFFSET(ASISTENCIA!$E$1,MATCH($G55,ASISTENCIA!$E:$E,0)-1,MATCH(Z$1,ASISTENCIA!$3:$3,0)-5,1,1)</f>
        <v>#N/A</v>
      </c>
      <c r="AA55" s="136" t="str">
        <f>IF(TODAY()&gt;=$AA$1-6,SUM(OFFSET(DEVO!$F$1,MATCH($G55,DEVO!$E:$E,0)-1,MATCH(X$1,DEVO!$1:$1,0)-6,1,7)),"")</f>
        <v>#N/A</v>
      </c>
      <c r="AB55" s="131" t="str">
        <f>IF(TODAY()&gt;=$AE$1-6,SUM(OFFSET(ASISTENCIA!$E$1,MATCH($G55,ASISTENCIA!$E:$E,0)-1,MATCH(AB$1,ASISTENCIA!$3:$3,0)-5,1,1)),"")</f>
        <v>#N/A</v>
      </c>
      <c r="AC55" s="131" t="str">
        <f>OFFSET(ASISTENCIA!$E$1,MATCH($G55,ASISTENCIA!$E:$E,0)-1,MATCH(AC$1,ASISTENCIA!$3:$3,0)-5,1,1)</f>
        <v>#N/A</v>
      </c>
      <c r="AD55" s="131" t="str">
        <f>OFFSET(ASISTENCIA!$E$1,MATCH($G55,ASISTENCIA!$E:$E,0)-1,MATCH(AD$1,ASISTENCIA!$3:$3,0)-5,1,1)</f>
        <v>#N/A</v>
      </c>
      <c r="AE55" s="136" t="str">
        <f>IF(TODAY()&gt;=$AE$1-6,SUM(OFFSET(DEVO!$F$1,MATCH($G55,DEVO!$E:$E,0)-1,MATCH(AB$1,DEVO!$1:$1,0)-6,1,7)),"")</f>
        <v>#N/A</v>
      </c>
      <c r="AF55" s="131" t="str">
        <f>IF(TODAY()&gt;=$AI$1-6,SUM(OFFSET(ASISTENCIA!$E$1,MATCH($G55,ASISTENCIA!$E:$E,0)-1,MATCH(AF$1,ASISTENCIA!$3:$3,0)-5,1,1)),"")</f>
        <v>#N/A</v>
      </c>
      <c r="AG55" s="131" t="str">
        <f>OFFSET(ASISTENCIA!$E$1,MATCH($G55,ASISTENCIA!$E:$E,0)-1,MATCH(AG$1,ASISTENCIA!$3:$3,0)-5,1,1)</f>
        <v>#N/A</v>
      </c>
      <c r="AH55" s="131" t="str">
        <f>OFFSET(ASISTENCIA!$E$1,MATCH($G55,ASISTENCIA!$E:$E,0)-1,MATCH(AH$1,ASISTENCIA!$3:$3,0)-5,1,1)</f>
        <v>#N/A</v>
      </c>
      <c r="AI55" s="136" t="str">
        <f>IF(TODAY()&gt;=$AI$1-6,SUM(OFFSET(DEVO!$F$1,MATCH($G55,DEVO!$E:$E,0)-1,MATCH(AF$1,DEVO!$1:$1,0)-6,1,7)),"")</f>
        <v>#N/A</v>
      </c>
      <c r="AJ55" s="131" t="str">
        <f>IF(TODAY()&gt;=$AM$1-6,SUM(OFFSET(ASISTENCIA!$E$1,MATCH($G55,ASISTENCIA!$E:$E,0)-1,MATCH(AJ$1,ASISTENCIA!$3:$3,0)-5,1,1)),"")</f>
        <v>#N/A</v>
      </c>
      <c r="AK55" s="131" t="str">
        <f>OFFSET(ASISTENCIA!$E$1,MATCH($G55,ASISTENCIA!$E:$E,0)-1,MATCH(AK$1,ASISTENCIA!$3:$3,0)-5,1,1)</f>
        <v>#N/A</v>
      </c>
      <c r="AL55" s="131" t="str">
        <f>OFFSET(ASISTENCIA!$E$1,MATCH($G55,ASISTENCIA!$E:$E,0)-1,MATCH(AL$1,ASISTENCIA!$3:$3,0)-5,1,1)</f>
        <v>#N/A</v>
      </c>
      <c r="AM55" s="136" t="str">
        <f>IF(TODAY()&gt;=$AM$1-6,SUM(OFFSET(DEVO!$F$1,MATCH($G55,DEVO!$E:$E,0)-1,MATCH(AJ$1,DEVO!$1:$1,0)-6,1,7)),"")</f>
        <v>#N/A</v>
      </c>
      <c r="AN55" s="131" t="str">
        <f>IF(TODAY()&gt;=$AQ$1-6,SUM(OFFSET(ASISTENCIA!$E$1,MATCH($G55,ASISTENCIA!$E:$E,0)-1,MATCH(AN$1,ASISTENCIA!$3:$3,0)-5,1,1)),"")</f>
        <v>#N/A</v>
      </c>
      <c r="AO55" s="131" t="str">
        <f>OFFSET(ASISTENCIA!$E$1,MATCH($G55,ASISTENCIA!$E:$E,0)-1,MATCH(AO$1,ASISTENCIA!$3:$3,0)-5,1,1)</f>
        <v>#N/A</v>
      </c>
      <c r="AP55" s="131" t="str">
        <f>OFFSET(ASISTENCIA!$E$1,MATCH($G55,ASISTENCIA!$E:$E,0)-1,MATCH(AP$1,ASISTENCIA!$3:$3,0)-5,1,1)</f>
        <v>#N/A</v>
      </c>
      <c r="AQ55" s="136" t="str">
        <f>IF(TODAY()&gt;=$AQ$1-6,SUM(OFFSET(DEVO!$F$1,MATCH($G55,DEVO!$E:$E,0)-1,MATCH(AN$1,DEVO!$1:$1,0)-6,1,7)),"")</f>
        <v>#N/A</v>
      </c>
      <c r="AR55" s="131" t="str">
        <f>IF(TODAY()&gt;=$AU$1-6,SUM(OFFSET(ASISTENCIA!$E$1,MATCH($G55,ASISTENCIA!$E:$E,0)-1,MATCH(AR$1,ASISTENCIA!$3:$3,0)-5,1,1)),"")</f>
        <v>#N/A</v>
      </c>
      <c r="AS55" s="131" t="str">
        <f>OFFSET(ASISTENCIA!$E$1,MATCH($G55,ASISTENCIA!$E:$E,0)-1,MATCH(AS$1,ASISTENCIA!$3:$3,0)-5,1,1)</f>
        <v>#N/A</v>
      </c>
      <c r="AT55" s="131" t="str">
        <f>OFFSET(ASISTENCIA!$E$1,MATCH($G55,ASISTENCIA!$E:$E,0)-1,MATCH(AT$1,ASISTENCIA!$3:$3,0)-5,1,1)</f>
        <v>#N/A</v>
      </c>
      <c r="AU55" s="136" t="str">
        <f>IF(TODAY()&gt;=$AU$1-6,SUM(OFFSET(DEVO!$F$1,MATCH($G55,DEVO!$E:$E,0)-1,MATCH(AR$1,DEVO!$1:$1,0)-6,1,7)),"")</f>
        <v>#N/A</v>
      </c>
      <c r="AV55" s="131" t="str">
        <f>OFFSET(ASISTENCIA!$E$1,MATCH($G55,ASISTENCIA!$E:$E,0)-1,MATCH(AV$1,ASISTENCIA!$3:$3,0)-5,1,1)</f>
        <v>#N/A</v>
      </c>
      <c r="AW55" s="131" t="str">
        <f>OFFSET(ASISTENCIA!$E$1,MATCH($G55,ASISTENCIA!$E:$E,0)-1,MATCH(AW$1,ASISTENCIA!$3:$3,0)-5,1,1)</f>
        <v>#N/A</v>
      </c>
      <c r="AY55" s="173">
        <f t="shared" si="2"/>
        <v>0</v>
      </c>
      <c r="AZ55" s="174">
        <f t="shared" si="3"/>
        <v>0</v>
      </c>
      <c r="BA55" s="174">
        <f t="shared" si="4"/>
        <v>0</v>
      </c>
      <c r="BB55" s="174">
        <f t="shared" si="5"/>
        <v>0</v>
      </c>
      <c r="BC55" s="174">
        <f t="shared" si="6"/>
        <v>0</v>
      </c>
      <c r="BD55" s="174">
        <f t="shared" si="7"/>
        <v>0</v>
      </c>
      <c r="BE55" s="174">
        <f t="shared" si="8"/>
        <v>0</v>
      </c>
      <c r="BF55" s="174">
        <f t="shared" si="9"/>
        <v>0</v>
      </c>
      <c r="BG55" s="174">
        <f t="shared" si="10"/>
        <v>0</v>
      </c>
      <c r="BH55" s="152">
        <f t="shared" si="11"/>
        <v>0</v>
      </c>
      <c r="BI55" s="153" t="str">
        <f t="shared" si="12"/>
        <v>OBSERVADOS</v>
      </c>
      <c r="BJ55" s="175" t="str">
        <f t="shared" si="13"/>
        <v>#N/A</v>
      </c>
      <c r="BK55" s="176" t="str">
        <f t="shared" si="14"/>
        <v>#N/A</v>
      </c>
      <c r="BL55" s="176" t="str">
        <f t="shared" si="15"/>
        <v>#N/A</v>
      </c>
      <c r="BM55" s="176" t="str">
        <f t="shared" si="16"/>
        <v>#N/A</v>
      </c>
      <c r="BN55" s="176" t="str">
        <f t="shared" si="17"/>
        <v>#N/A</v>
      </c>
      <c r="BO55" s="176" t="str">
        <f t="shared" si="18"/>
        <v>#N/A</v>
      </c>
      <c r="BP55" s="176" t="str">
        <f t="shared" si="19"/>
        <v>#N/A</v>
      </c>
      <c r="BQ55" s="176" t="str">
        <f t="shared" si="20"/>
        <v>#N/A</v>
      </c>
      <c r="BR55" s="176" t="str">
        <f t="shared" si="21"/>
        <v>#N/A</v>
      </c>
      <c r="BS55" s="207" t="str">
        <f>OFFSET(ASISTENCIA!$E$1,MATCH($G55,ASISTENCIA!$E:$E,0)-1,MATCH(BS$1,ASISTENCIA!$3:$3,0)-5,1,1)</f>
        <v>#N/A</v>
      </c>
      <c r="BT55" s="207" t="str">
        <f>OFFSET(ASISTENCIA!$E$1,MATCH($G55,ASISTENCIA!$E:$E,0)-1,MATCH(BT$1,ASISTENCIA!$3:$3,0)-5,1,1)</f>
        <v>#N/A</v>
      </c>
      <c r="BU55" s="215" t="str">
        <f>OFFSET(ASISTENCIA!$E$1,MATCH($G55,ASISTENCIA!$E:$E,0)-1,MATCH(BU$1,ASISTENCIA!$3:$3,0)-5,1,1)</f>
        <v>#N/A</v>
      </c>
      <c r="BV55" s="215" t="str">
        <f>OFFSET(ASISTENCIA!$E$1,MATCH($G55,ASISTENCIA!$E:$E,0)-1,MATCH(BV$1,ASISTENCIA!$3:$3,0)-5,1,1)</f>
        <v>#N/A</v>
      </c>
      <c r="BW55" s="55"/>
      <c r="BX55" s="55"/>
      <c r="BY55" s="55"/>
    </row>
    <row r="56">
      <c r="A56" s="123">
        <f t="shared" si="22"/>
        <v>53</v>
      </c>
      <c r="B56" s="127"/>
      <c r="C56" s="128"/>
      <c r="D56" s="128"/>
      <c r="E56" s="127"/>
      <c r="F56" s="127"/>
      <c r="G56" s="128"/>
      <c r="H56" s="128"/>
      <c r="I56" s="129"/>
      <c r="J56" s="129" t="str">
        <f>DEVO!F57</f>
        <v/>
      </c>
      <c r="K56" s="129" t="str">
        <f t="shared" si="1"/>
        <v/>
      </c>
      <c r="L56" s="131" t="str">
        <f>IF(TODAY()&gt;=$O$1-6,SUM(OFFSET(ASISTENCIA!$E$1,MATCH($G56,ASISTENCIA!$E:$E,0)-1,MATCH(L$1,ASISTENCIA!$3:$3,0)-5,1,1)),"")</f>
        <v>#N/A</v>
      </c>
      <c r="M56" s="131" t="str">
        <f>OFFSET(ASISTENCIA!$E$1,MATCH($G56,ASISTENCIA!$E:$E,0)-1,MATCH(M$1,ASISTENCIA!$3:$3,0)-5,1,1)</f>
        <v>#N/A</v>
      </c>
      <c r="N56" s="131" t="str">
        <f>OFFSET(ASISTENCIA!$E$1,MATCH($G56,ASISTENCIA!$E:$E,0)-1,MATCH(N$1,ASISTENCIA!$3:$3,0)-5,1,1)</f>
        <v>#N/A</v>
      </c>
      <c r="O56" s="136" t="str">
        <f>IF(TODAY()&gt;=$O$1-6,SUM(OFFSET(DEVO!$F$1,MATCH($G56,DEVO!$E:$E,0)-1,MATCH(L$1,DEVO!$1:$1,0)-6,1,7)),"")</f>
        <v>#N/A</v>
      </c>
      <c r="P56" s="131" t="str">
        <f>IF(TODAY()&gt;=$S$1-6,SUM(OFFSET(ASISTENCIA!$E$1,MATCH($G56,ASISTENCIA!$E:$E,0)-1,MATCH(P$1,ASISTENCIA!$3:$3,0)-5,1,1)),"")</f>
        <v>#N/A</v>
      </c>
      <c r="Q56" s="131" t="str">
        <f>OFFSET(ASISTENCIA!$E$1,MATCH($G56,ASISTENCIA!$E:$E,0)-1,MATCH(Q$1,ASISTENCIA!$3:$3,0)-5,1,1)</f>
        <v>#N/A</v>
      </c>
      <c r="R56" s="131" t="str">
        <f>OFFSET(ASISTENCIA!$E$1,MATCH($G56,ASISTENCIA!$E:$E,0)-1,MATCH(R$1,ASISTENCIA!$3:$3,0)-5,1,1)</f>
        <v>#N/A</v>
      </c>
      <c r="S56" s="136" t="str">
        <f>IF(TODAY()&gt;=$S$1-6,SUM(OFFSET(DEVO!$F$1,MATCH($G56,DEVO!$E:$E,0)-1,MATCH(P$1,DEVO!$1:$1,0)-6,1,7)),"")</f>
        <v>#N/A</v>
      </c>
      <c r="T56" s="131" t="str">
        <f>IF(TODAY()&gt;=$W$1-6,SUM(OFFSET(ASISTENCIA!$E$1,MATCH($G56,ASISTENCIA!$E:$E,0)-1,MATCH(T$1,ASISTENCIA!$3:$3,0)-5,1,1)),"")</f>
        <v>#N/A</v>
      </c>
      <c r="U56" s="131" t="str">
        <f>OFFSET(ASISTENCIA!$E$1,MATCH($G56,ASISTENCIA!$E:$E,0)-1,MATCH(U$1,ASISTENCIA!$3:$3,0)-5,1,1)</f>
        <v>#N/A</v>
      </c>
      <c r="V56" s="131" t="str">
        <f>OFFSET(ASISTENCIA!$E$1,MATCH($G56,ASISTENCIA!$E:$E,0)-1,MATCH(V$1,ASISTENCIA!$3:$3,0)-5,1,1)</f>
        <v>#N/A</v>
      </c>
      <c r="W56" s="136" t="str">
        <f>IF(TODAY()&gt;=$W$1-6,SUM(OFFSET(DEVO!$F$1,MATCH($G56,DEVO!$E:$E,0)-1,MATCH(T$1,DEVO!$1:$1,0)-6,1,7)),"")</f>
        <v>#N/A</v>
      </c>
      <c r="X56" s="131" t="str">
        <f>IF(TODAY()&gt;=$AA$1-6,SUM(OFFSET(ASISTENCIA!$E$1,MATCH($G56,ASISTENCIA!$E:$E,0)-1,MATCH(X$1,ASISTENCIA!$3:$3,0)-5,1,1)),"")</f>
        <v>#N/A</v>
      </c>
      <c r="Y56" s="131" t="str">
        <f>OFFSET(ASISTENCIA!$E$1,MATCH($G56,ASISTENCIA!$E:$E,0)-1,MATCH(Y$1,ASISTENCIA!$3:$3,0)-5,1,1)</f>
        <v>#N/A</v>
      </c>
      <c r="Z56" s="131" t="str">
        <f>OFFSET(ASISTENCIA!$E$1,MATCH($G56,ASISTENCIA!$E:$E,0)-1,MATCH(Z$1,ASISTENCIA!$3:$3,0)-5,1,1)</f>
        <v>#N/A</v>
      </c>
      <c r="AA56" s="136" t="str">
        <f>IF(TODAY()&gt;=$AA$1-6,SUM(OFFSET(DEVO!$F$1,MATCH($G56,DEVO!$E:$E,0)-1,MATCH(X$1,DEVO!$1:$1,0)-6,1,7)),"")</f>
        <v>#N/A</v>
      </c>
      <c r="AB56" s="131" t="str">
        <f>IF(TODAY()&gt;=$AE$1-6,SUM(OFFSET(ASISTENCIA!$E$1,MATCH($G56,ASISTENCIA!$E:$E,0)-1,MATCH(AB$1,ASISTENCIA!$3:$3,0)-5,1,1)),"")</f>
        <v>#N/A</v>
      </c>
      <c r="AC56" s="131" t="str">
        <f>OFFSET(ASISTENCIA!$E$1,MATCH($G56,ASISTENCIA!$E:$E,0)-1,MATCH(AC$1,ASISTENCIA!$3:$3,0)-5,1,1)</f>
        <v>#N/A</v>
      </c>
      <c r="AD56" s="131" t="str">
        <f>OFFSET(ASISTENCIA!$E$1,MATCH($G56,ASISTENCIA!$E:$E,0)-1,MATCH(AD$1,ASISTENCIA!$3:$3,0)-5,1,1)</f>
        <v>#N/A</v>
      </c>
      <c r="AE56" s="136" t="str">
        <f>IF(TODAY()&gt;=$AE$1-6,SUM(OFFSET(DEVO!$F$1,MATCH($G56,DEVO!$E:$E,0)-1,MATCH(AB$1,DEVO!$1:$1,0)-6,1,7)),"")</f>
        <v>#N/A</v>
      </c>
      <c r="AF56" s="131" t="str">
        <f>IF(TODAY()&gt;=$AI$1-6,SUM(OFFSET(ASISTENCIA!$E$1,MATCH($G56,ASISTENCIA!$E:$E,0)-1,MATCH(AF$1,ASISTENCIA!$3:$3,0)-5,1,1)),"")</f>
        <v>#N/A</v>
      </c>
      <c r="AG56" s="131" t="str">
        <f>OFFSET(ASISTENCIA!$E$1,MATCH($G56,ASISTENCIA!$E:$E,0)-1,MATCH(AG$1,ASISTENCIA!$3:$3,0)-5,1,1)</f>
        <v>#N/A</v>
      </c>
      <c r="AH56" s="131" t="str">
        <f>OFFSET(ASISTENCIA!$E$1,MATCH($G56,ASISTENCIA!$E:$E,0)-1,MATCH(AH$1,ASISTENCIA!$3:$3,0)-5,1,1)</f>
        <v>#N/A</v>
      </c>
      <c r="AI56" s="136" t="str">
        <f>IF(TODAY()&gt;=$AI$1-6,SUM(OFFSET(DEVO!$F$1,MATCH($G56,DEVO!$E:$E,0)-1,MATCH(AF$1,DEVO!$1:$1,0)-6,1,7)),"")</f>
        <v>#N/A</v>
      </c>
      <c r="AJ56" s="131" t="str">
        <f>IF(TODAY()&gt;=$AM$1-6,SUM(OFFSET(ASISTENCIA!$E$1,MATCH($G56,ASISTENCIA!$E:$E,0)-1,MATCH(AJ$1,ASISTENCIA!$3:$3,0)-5,1,1)),"")</f>
        <v>#N/A</v>
      </c>
      <c r="AK56" s="131" t="str">
        <f>OFFSET(ASISTENCIA!$E$1,MATCH($G56,ASISTENCIA!$E:$E,0)-1,MATCH(AK$1,ASISTENCIA!$3:$3,0)-5,1,1)</f>
        <v>#N/A</v>
      </c>
      <c r="AL56" s="131" t="str">
        <f>OFFSET(ASISTENCIA!$E$1,MATCH($G56,ASISTENCIA!$E:$E,0)-1,MATCH(AL$1,ASISTENCIA!$3:$3,0)-5,1,1)</f>
        <v>#N/A</v>
      </c>
      <c r="AM56" s="136" t="str">
        <f>IF(TODAY()&gt;=$AM$1-6,SUM(OFFSET(DEVO!$F$1,MATCH($G56,DEVO!$E:$E,0)-1,MATCH(AJ$1,DEVO!$1:$1,0)-6,1,7)),"")</f>
        <v>#N/A</v>
      </c>
      <c r="AN56" s="131" t="str">
        <f>IF(TODAY()&gt;=$AQ$1-6,SUM(OFFSET(ASISTENCIA!$E$1,MATCH($G56,ASISTENCIA!$E:$E,0)-1,MATCH(AN$1,ASISTENCIA!$3:$3,0)-5,1,1)),"")</f>
        <v>#N/A</v>
      </c>
      <c r="AO56" s="131" t="str">
        <f>OFFSET(ASISTENCIA!$E$1,MATCH($G56,ASISTENCIA!$E:$E,0)-1,MATCH(AO$1,ASISTENCIA!$3:$3,0)-5,1,1)</f>
        <v>#N/A</v>
      </c>
      <c r="AP56" s="131" t="str">
        <f>OFFSET(ASISTENCIA!$E$1,MATCH($G56,ASISTENCIA!$E:$E,0)-1,MATCH(AP$1,ASISTENCIA!$3:$3,0)-5,1,1)</f>
        <v>#N/A</v>
      </c>
      <c r="AQ56" s="136" t="str">
        <f>IF(TODAY()&gt;=$AQ$1-6,SUM(OFFSET(DEVO!$F$1,MATCH($G56,DEVO!$E:$E,0)-1,MATCH(AN$1,DEVO!$1:$1,0)-6,1,7)),"")</f>
        <v>#N/A</v>
      </c>
      <c r="AR56" s="131" t="str">
        <f>IF(TODAY()&gt;=$AU$1-6,SUM(OFFSET(ASISTENCIA!$E$1,MATCH($G56,ASISTENCIA!$E:$E,0)-1,MATCH(AR$1,ASISTENCIA!$3:$3,0)-5,1,1)),"")</f>
        <v>#N/A</v>
      </c>
      <c r="AS56" s="131" t="str">
        <f>OFFSET(ASISTENCIA!$E$1,MATCH($G56,ASISTENCIA!$E:$E,0)-1,MATCH(AS$1,ASISTENCIA!$3:$3,0)-5,1,1)</f>
        <v>#N/A</v>
      </c>
      <c r="AT56" s="131" t="str">
        <f>OFFSET(ASISTENCIA!$E$1,MATCH($G56,ASISTENCIA!$E:$E,0)-1,MATCH(AT$1,ASISTENCIA!$3:$3,0)-5,1,1)</f>
        <v>#N/A</v>
      </c>
      <c r="AU56" s="136" t="str">
        <f>IF(TODAY()&gt;=$AU$1-6,SUM(OFFSET(DEVO!$F$1,MATCH($G56,DEVO!$E:$E,0)-1,MATCH(AR$1,DEVO!$1:$1,0)-6,1,7)),"")</f>
        <v>#N/A</v>
      </c>
      <c r="AV56" s="131" t="str">
        <f>OFFSET(ASISTENCIA!$E$1,MATCH($G56,ASISTENCIA!$E:$E,0)-1,MATCH(AV$1,ASISTENCIA!$3:$3,0)-5,1,1)</f>
        <v>#N/A</v>
      </c>
      <c r="AW56" s="131" t="str">
        <f>OFFSET(ASISTENCIA!$E$1,MATCH($G56,ASISTENCIA!$E:$E,0)-1,MATCH(AW$1,ASISTENCIA!$3:$3,0)-5,1,1)</f>
        <v>#N/A</v>
      </c>
      <c r="AY56" s="173">
        <f t="shared" si="2"/>
        <v>0</v>
      </c>
      <c r="AZ56" s="174">
        <f t="shared" si="3"/>
        <v>0</v>
      </c>
      <c r="BA56" s="174">
        <f t="shared" si="4"/>
        <v>0</v>
      </c>
      <c r="BB56" s="174">
        <f t="shared" si="5"/>
        <v>0</v>
      </c>
      <c r="BC56" s="174">
        <f t="shared" si="6"/>
        <v>0</v>
      </c>
      <c r="BD56" s="174">
        <f t="shared" si="7"/>
        <v>0</v>
      </c>
      <c r="BE56" s="174">
        <f t="shared" si="8"/>
        <v>0</v>
      </c>
      <c r="BF56" s="174">
        <f t="shared" si="9"/>
        <v>0</v>
      </c>
      <c r="BG56" s="174">
        <f t="shared" si="10"/>
        <v>0</v>
      </c>
      <c r="BH56" s="152">
        <f t="shared" si="11"/>
        <v>0</v>
      </c>
      <c r="BI56" s="153" t="str">
        <f t="shared" si="12"/>
        <v>OBSERVADOS</v>
      </c>
      <c r="BJ56" s="175" t="str">
        <f t="shared" si="13"/>
        <v>#N/A</v>
      </c>
      <c r="BK56" s="176" t="str">
        <f t="shared" si="14"/>
        <v>#N/A</v>
      </c>
      <c r="BL56" s="176" t="str">
        <f t="shared" si="15"/>
        <v>#N/A</v>
      </c>
      <c r="BM56" s="176" t="str">
        <f t="shared" si="16"/>
        <v>#N/A</v>
      </c>
      <c r="BN56" s="176" t="str">
        <f t="shared" si="17"/>
        <v>#N/A</v>
      </c>
      <c r="BO56" s="176" t="str">
        <f t="shared" si="18"/>
        <v>#N/A</v>
      </c>
      <c r="BP56" s="176" t="str">
        <f t="shared" si="19"/>
        <v>#N/A</v>
      </c>
      <c r="BQ56" s="176" t="str">
        <f t="shared" si="20"/>
        <v>#N/A</v>
      </c>
      <c r="BR56" s="176" t="str">
        <f t="shared" si="21"/>
        <v>#N/A</v>
      </c>
      <c r="BS56" s="207" t="str">
        <f>OFFSET(ASISTENCIA!$E$1,MATCH($G56,ASISTENCIA!$E:$E,0)-1,MATCH(BS$1,ASISTENCIA!$3:$3,0)-5,1,1)</f>
        <v>#N/A</v>
      </c>
      <c r="BT56" s="207" t="str">
        <f>OFFSET(ASISTENCIA!$E$1,MATCH($G56,ASISTENCIA!$E:$E,0)-1,MATCH(BT$1,ASISTENCIA!$3:$3,0)-5,1,1)</f>
        <v>#N/A</v>
      </c>
      <c r="BU56" s="215" t="str">
        <f>OFFSET(ASISTENCIA!$E$1,MATCH($G56,ASISTENCIA!$E:$E,0)-1,MATCH(BU$1,ASISTENCIA!$3:$3,0)-5,1,1)</f>
        <v>#N/A</v>
      </c>
      <c r="BV56" s="215" t="str">
        <f>OFFSET(ASISTENCIA!$E$1,MATCH($G56,ASISTENCIA!$E:$E,0)-1,MATCH(BV$1,ASISTENCIA!$3:$3,0)-5,1,1)</f>
        <v>#N/A</v>
      </c>
      <c r="BW56" s="55"/>
      <c r="BX56" s="55"/>
      <c r="BY56" s="55"/>
    </row>
    <row r="57">
      <c r="A57" s="123">
        <f t="shared" si="22"/>
        <v>54</v>
      </c>
      <c r="B57" s="127"/>
      <c r="C57" s="128"/>
      <c r="D57" s="128"/>
      <c r="E57" s="127"/>
      <c r="F57" s="127"/>
      <c r="G57" s="128"/>
      <c r="H57" s="128"/>
      <c r="I57" s="129"/>
      <c r="J57" s="129" t="str">
        <f>DEVO!F58</f>
        <v/>
      </c>
      <c r="K57" s="129" t="str">
        <f t="shared" si="1"/>
        <v/>
      </c>
      <c r="L57" s="131" t="str">
        <f>IF(TODAY()&gt;=$O$1-6,SUM(OFFSET(ASISTENCIA!$E$1,MATCH($G57,ASISTENCIA!$E:$E,0)-1,MATCH(L$1,ASISTENCIA!$3:$3,0)-5,1,1)),"")</f>
        <v>#N/A</v>
      </c>
      <c r="M57" s="131" t="str">
        <f>OFFSET(ASISTENCIA!$E$1,MATCH($G57,ASISTENCIA!$E:$E,0)-1,MATCH(M$1,ASISTENCIA!$3:$3,0)-5,1,1)</f>
        <v>#N/A</v>
      </c>
      <c r="N57" s="131" t="str">
        <f>OFFSET(ASISTENCIA!$E$1,MATCH($G57,ASISTENCIA!$E:$E,0)-1,MATCH(N$1,ASISTENCIA!$3:$3,0)-5,1,1)</f>
        <v>#N/A</v>
      </c>
      <c r="O57" s="136" t="str">
        <f>IF(TODAY()&gt;=$O$1-6,SUM(OFFSET(DEVO!$F$1,MATCH($G57,DEVO!$E:$E,0)-1,MATCH(L$1,DEVO!$1:$1,0)-6,1,7)),"")</f>
        <v>#N/A</v>
      </c>
      <c r="P57" s="131" t="str">
        <f>IF(TODAY()&gt;=$S$1-6,SUM(OFFSET(ASISTENCIA!$E$1,MATCH($G57,ASISTENCIA!$E:$E,0)-1,MATCH(P$1,ASISTENCIA!$3:$3,0)-5,1,1)),"")</f>
        <v>#N/A</v>
      </c>
      <c r="Q57" s="131" t="str">
        <f>OFFSET(ASISTENCIA!$E$1,MATCH($G57,ASISTENCIA!$E:$E,0)-1,MATCH(Q$1,ASISTENCIA!$3:$3,0)-5,1,1)</f>
        <v>#N/A</v>
      </c>
      <c r="R57" s="131" t="str">
        <f>OFFSET(ASISTENCIA!$E$1,MATCH($G57,ASISTENCIA!$E:$E,0)-1,MATCH(R$1,ASISTENCIA!$3:$3,0)-5,1,1)</f>
        <v>#N/A</v>
      </c>
      <c r="S57" s="136" t="str">
        <f>IF(TODAY()&gt;=$S$1-6,SUM(OFFSET(DEVO!$F$1,MATCH($G57,DEVO!$E:$E,0)-1,MATCH(P$1,DEVO!$1:$1,0)-6,1,7)),"")</f>
        <v>#N/A</v>
      </c>
      <c r="T57" s="131" t="str">
        <f>IF(TODAY()&gt;=$W$1-6,SUM(OFFSET(ASISTENCIA!$E$1,MATCH($G57,ASISTENCIA!$E:$E,0)-1,MATCH(T$1,ASISTENCIA!$3:$3,0)-5,1,1)),"")</f>
        <v>#N/A</v>
      </c>
      <c r="U57" s="131" t="str">
        <f>OFFSET(ASISTENCIA!$E$1,MATCH($G57,ASISTENCIA!$E:$E,0)-1,MATCH(U$1,ASISTENCIA!$3:$3,0)-5,1,1)</f>
        <v>#N/A</v>
      </c>
      <c r="V57" s="131" t="str">
        <f>OFFSET(ASISTENCIA!$E$1,MATCH($G57,ASISTENCIA!$E:$E,0)-1,MATCH(V$1,ASISTENCIA!$3:$3,0)-5,1,1)</f>
        <v>#N/A</v>
      </c>
      <c r="W57" s="136" t="str">
        <f>IF(TODAY()&gt;=$W$1-6,SUM(OFFSET(DEVO!$F$1,MATCH($G57,DEVO!$E:$E,0)-1,MATCH(T$1,DEVO!$1:$1,0)-6,1,7)),"")</f>
        <v>#N/A</v>
      </c>
      <c r="X57" s="131" t="str">
        <f>IF(TODAY()&gt;=$AA$1-6,SUM(OFFSET(ASISTENCIA!$E$1,MATCH($G57,ASISTENCIA!$E:$E,0)-1,MATCH(X$1,ASISTENCIA!$3:$3,0)-5,1,1)),"")</f>
        <v>#N/A</v>
      </c>
      <c r="Y57" s="131" t="str">
        <f>OFFSET(ASISTENCIA!$E$1,MATCH($G57,ASISTENCIA!$E:$E,0)-1,MATCH(Y$1,ASISTENCIA!$3:$3,0)-5,1,1)</f>
        <v>#N/A</v>
      </c>
      <c r="Z57" s="131" t="str">
        <f>OFFSET(ASISTENCIA!$E$1,MATCH($G57,ASISTENCIA!$E:$E,0)-1,MATCH(Z$1,ASISTENCIA!$3:$3,0)-5,1,1)</f>
        <v>#N/A</v>
      </c>
      <c r="AA57" s="136" t="str">
        <f>IF(TODAY()&gt;=$AA$1-6,SUM(OFFSET(DEVO!$F$1,MATCH($G57,DEVO!$E:$E,0)-1,MATCH(X$1,DEVO!$1:$1,0)-6,1,7)),"")</f>
        <v>#N/A</v>
      </c>
      <c r="AB57" s="131" t="str">
        <f>IF(TODAY()&gt;=$AE$1-6,SUM(OFFSET(ASISTENCIA!$E$1,MATCH($G57,ASISTENCIA!$E:$E,0)-1,MATCH(AB$1,ASISTENCIA!$3:$3,0)-5,1,1)),"")</f>
        <v>#N/A</v>
      </c>
      <c r="AC57" s="131" t="str">
        <f>OFFSET(ASISTENCIA!$E$1,MATCH($G57,ASISTENCIA!$E:$E,0)-1,MATCH(AC$1,ASISTENCIA!$3:$3,0)-5,1,1)</f>
        <v>#N/A</v>
      </c>
      <c r="AD57" s="131" t="str">
        <f>OFFSET(ASISTENCIA!$E$1,MATCH($G57,ASISTENCIA!$E:$E,0)-1,MATCH(AD$1,ASISTENCIA!$3:$3,0)-5,1,1)</f>
        <v>#N/A</v>
      </c>
      <c r="AE57" s="136" t="str">
        <f>IF(TODAY()&gt;=$AE$1-6,SUM(OFFSET(DEVO!$F$1,MATCH($G57,DEVO!$E:$E,0)-1,MATCH(AB$1,DEVO!$1:$1,0)-6,1,7)),"")</f>
        <v>#N/A</v>
      </c>
      <c r="AF57" s="131" t="str">
        <f>IF(TODAY()&gt;=$AI$1-6,SUM(OFFSET(ASISTENCIA!$E$1,MATCH($G57,ASISTENCIA!$E:$E,0)-1,MATCH(AF$1,ASISTENCIA!$3:$3,0)-5,1,1)),"")</f>
        <v>#N/A</v>
      </c>
      <c r="AG57" s="131" t="str">
        <f>OFFSET(ASISTENCIA!$E$1,MATCH($G57,ASISTENCIA!$E:$E,0)-1,MATCH(AG$1,ASISTENCIA!$3:$3,0)-5,1,1)</f>
        <v>#N/A</v>
      </c>
      <c r="AH57" s="131" t="str">
        <f>OFFSET(ASISTENCIA!$E$1,MATCH($G57,ASISTENCIA!$E:$E,0)-1,MATCH(AH$1,ASISTENCIA!$3:$3,0)-5,1,1)</f>
        <v>#N/A</v>
      </c>
      <c r="AI57" s="136" t="str">
        <f>IF(TODAY()&gt;=$AI$1-6,SUM(OFFSET(DEVO!$F$1,MATCH($G57,DEVO!$E:$E,0)-1,MATCH(AF$1,DEVO!$1:$1,0)-6,1,7)),"")</f>
        <v>#N/A</v>
      </c>
      <c r="AJ57" s="131" t="str">
        <f>IF(TODAY()&gt;=$AM$1-6,SUM(OFFSET(ASISTENCIA!$E$1,MATCH($G57,ASISTENCIA!$E:$E,0)-1,MATCH(AJ$1,ASISTENCIA!$3:$3,0)-5,1,1)),"")</f>
        <v>#N/A</v>
      </c>
      <c r="AK57" s="131" t="str">
        <f>OFFSET(ASISTENCIA!$E$1,MATCH($G57,ASISTENCIA!$E:$E,0)-1,MATCH(AK$1,ASISTENCIA!$3:$3,0)-5,1,1)</f>
        <v>#N/A</v>
      </c>
      <c r="AL57" s="131" t="str">
        <f>OFFSET(ASISTENCIA!$E$1,MATCH($G57,ASISTENCIA!$E:$E,0)-1,MATCH(AL$1,ASISTENCIA!$3:$3,0)-5,1,1)</f>
        <v>#N/A</v>
      </c>
      <c r="AM57" s="136" t="str">
        <f>IF(TODAY()&gt;=$AM$1-6,SUM(OFFSET(DEVO!$F$1,MATCH($G57,DEVO!$E:$E,0)-1,MATCH(AJ$1,DEVO!$1:$1,0)-6,1,7)),"")</f>
        <v>#N/A</v>
      </c>
      <c r="AN57" s="131" t="str">
        <f>IF(TODAY()&gt;=$AQ$1-6,SUM(OFFSET(ASISTENCIA!$E$1,MATCH($G57,ASISTENCIA!$E:$E,0)-1,MATCH(AN$1,ASISTENCIA!$3:$3,0)-5,1,1)),"")</f>
        <v>#N/A</v>
      </c>
      <c r="AO57" s="131" t="str">
        <f>OFFSET(ASISTENCIA!$E$1,MATCH($G57,ASISTENCIA!$E:$E,0)-1,MATCH(AO$1,ASISTENCIA!$3:$3,0)-5,1,1)</f>
        <v>#N/A</v>
      </c>
      <c r="AP57" s="131" t="str">
        <f>OFFSET(ASISTENCIA!$E$1,MATCH($G57,ASISTENCIA!$E:$E,0)-1,MATCH(AP$1,ASISTENCIA!$3:$3,0)-5,1,1)</f>
        <v>#N/A</v>
      </c>
      <c r="AQ57" s="136" t="str">
        <f>IF(TODAY()&gt;=$AQ$1-6,SUM(OFFSET(DEVO!$F$1,MATCH($G57,DEVO!$E:$E,0)-1,MATCH(AN$1,DEVO!$1:$1,0)-6,1,7)),"")</f>
        <v>#N/A</v>
      </c>
      <c r="AR57" s="131" t="str">
        <f>IF(TODAY()&gt;=$AU$1-6,SUM(OFFSET(ASISTENCIA!$E$1,MATCH($G57,ASISTENCIA!$E:$E,0)-1,MATCH(AR$1,ASISTENCIA!$3:$3,0)-5,1,1)),"")</f>
        <v>#N/A</v>
      </c>
      <c r="AS57" s="131" t="str">
        <f>OFFSET(ASISTENCIA!$E$1,MATCH($G57,ASISTENCIA!$E:$E,0)-1,MATCH(AS$1,ASISTENCIA!$3:$3,0)-5,1,1)</f>
        <v>#N/A</v>
      </c>
      <c r="AT57" s="131" t="str">
        <f>OFFSET(ASISTENCIA!$E$1,MATCH($G57,ASISTENCIA!$E:$E,0)-1,MATCH(AT$1,ASISTENCIA!$3:$3,0)-5,1,1)</f>
        <v>#N/A</v>
      </c>
      <c r="AU57" s="136" t="str">
        <f>IF(TODAY()&gt;=$AU$1-6,SUM(OFFSET(DEVO!$F$1,MATCH($G57,DEVO!$E:$E,0)-1,MATCH(AR$1,DEVO!$1:$1,0)-6,1,7)),"")</f>
        <v>#N/A</v>
      </c>
      <c r="AV57" s="131" t="str">
        <f>OFFSET(ASISTENCIA!$E$1,MATCH($G57,ASISTENCIA!$E:$E,0)-1,MATCH(AV$1,ASISTENCIA!$3:$3,0)-5,1,1)</f>
        <v>#N/A</v>
      </c>
      <c r="AW57" s="131" t="str">
        <f>OFFSET(ASISTENCIA!$E$1,MATCH($G57,ASISTENCIA!$E:$E,0)-1,MATCH(AW$1,ASISTENCIA!$3:$3,0)-5,1,1)</f>
        <v>#N/A</v>
      </c>
      <c r="AY57" s="173">
        <f t="shared" si="2"/>
        <v>0</v>
      </c>
      <c r="AZ57" s="174">
        <f t="shared" si="3"/>
        <v>0</v>
      </c>
      <c r="BA57" s="174">
        <f t="shared" si="4"/>
        <v>0</v>
      </c>
      <c r="BB57" s="174">
        <f t="shared" si="5"/>
        <v>0</v>
      </c>
      <c r="BC57" s="174">
        <f t="shared" si="6"/>
        <v>0</v>
      </c>
      <c r="BD57" s="174">
        <f t="shared" si="7"/>
        <v>0</v>
      </c>
      <c r="BE57" s="174">
        <f t="shared" si="8"/>
        <v>0</v>
      </c>
      <c r="BF57" s="174">
        <f t="shared" si="9"/>
        <v>0</v>
      </c>
      <c r="BG57" s="174">
        <f t="shared" si="10"/>
        <v>0</v>
      </c>
      <c r="BH57" s="152">
        <f t="shared" si="11"/>
        <v>0</v>
      </c>
      <c r="BI57" s="153" t="str">
        <f t="shared" si="12"/>
        <v>OBSERVADOS</v>
      </c>
      <c r="BJ57" s="175" t="str">
        <f t="shared" si="13"/>
        <v>#N/A</v>
      </c>
      <c r="BK57" s="176" t="str">
        <f t="shared" si="14"/>
        <v>#N/A</v>
      </c>
      <c r="BL57" s="176" t="str">
        <f t="shared" si="15"/>
        <v>#N/A</v>
      </c>
      <c r="BM57" s="176" t="str">
        <f t="shared" si="16"/>
        <v>#N/A</v>
      </c>
      <c r="BN57" s="176" t="str">
        <f t="shared" si="17"/>
        <v>#N/A</v>
      </c>
      <c r="BO57" s="176" t="str">
        <f t="shared" si="18"/>
        <v>#N/A</v>
      </c>
      <c r="BP57" s="176" t="str">
        <f t="shared" si="19"/>
        <v>#N/A</v>
      </c>
      <c r="BQ57" s="176" t="str">
        <f t="shared" si="20"/>
        <v>#N/A</v>
      </c>
      <c r="BR57" s="176" t="str">
        <f t="shared" si="21"/>
        <v>#N/A</v>
      </c>
      <c r="BS57" s="207" t="str">
        <f>OFFSET(ASISTENCIA!$E$1,MATCH($G57,ASISTENCIA!$E:$E,0)-1,MATCH(BS$1,ASISTENCIA!$3:$3,0)-5,1,1)</f>
        <v>#N/A</v>
      </c>
      <c r="BT57" s="207" t="str">
        <f>OFFSET(ASISTENCIA!$E$1,MATCH($G57,ASISTENCIA!$E:$E,0)-1,MATCH(BT$1,ASISTENCIA!$3:$3,0)-5,1,1)</f>
        <v>#N/A</v>
      </c>
      <c r="BU57" s="215" t="str">
        <f>OFFSET(ASISTENCIA!$E$1,MATCH($G57,ASISTENCIA!$E:$E,0)-1,MATCH(BU$1,ASISTENCIA!$3:$3,0)-5,1,1)</f>
        <v>#N/A</v>
      </c>
      <c r="BV57" s="215" t="str">
        <f>OFFSET(ASISTENCIA!$E$1,MATCH($G57,ASISTENCIA!$E:$E,0)-1,MATCH(BV$1,ASISTENCIA!$3:$3,0)-5,1,1)</f>
        <v>#N/A</v>
      </c>
      <c r="BW57" s="55"/>
      <c r="BX57" s="55"/>
      <c r="BY57" s="55"/>
    </row>
    <row r="58">
      <c r="A58" s="123">
        <f t="shared" si="22"/>
        <v>55</v>
      </c>
      <c r="B58" s="127"/>
      <c r="C58" s="128"/>
      <c r="D58" s="128"/>
      <c r="E58" s="127"/>
      <c r="F58" s="127"/>
      <c r="G58" s="128"/>
      <c r="H58" s="128"/>
      <c r="I58" s="129"/>
      <c r="J58" s="129" t="str">
        <f>DEVO!F59</f>
        <v/>
      </c>
      <c r="K58" s="129" t="str">
        <f t="shared" si="1"/>
        <v/>
      </c>
      <c r="L58" s="131" t="str">
        <f>IF(TODAY()&gt;=$O$1-6,SUM(OFFSET(ASISTENCIA!$E$1,MATCH($G58,ASISTENCIA!$E:$E,0)-1,MATCH(L$1,ASISTENCIA!$3:$3,0)-5,1,1)),"")</f>
        <v>#N/A</v>
      </c>
      <c r="M58" s="131" t="str">
        <f>OFFSET(ASISTENCIA!$E$1,MATCH($G58,ASISTENCIA!$E:$E,0)-1,MATCH(M$1,ASISTENCIA!$3:$3,0)-5,1,1)</f>
        <v>#N/A</v>
      </c>
      <c r="N58" s="131" t="str">
        <f>OFFSET(ASISTENCIA!$E$1,MATCH($G58,ASISTENCIA!$E:$E,0)-1,MATCH(N$1,ASISTENCIA!$3:$3,0)-5,1,1)</f>
        <v>#N/A</v>
      </c>
      <c r="O58" s="136" t="str">
        <f>IF(TODAY()&gt;=$O$1-6,SUM(OFFSET(DEVO!$F$1,MATCH($G58,DEVO!$E:$E,0)-1,MATCH(L$1,DEVO!$1:$1,0)-6,1,7)),"")</f>
        <v>#N/A</v>
      </c>
      <c r="P58" s="131" t="str">
        <f>IF(TODAY()&gt;=$S$1-6,SUM(OFFSET(ASISTENCIA!$E$1,MATCH($G58,ASISTENCIA!$E:$E,0)-1,MATCH(P$1,ASISTENCIA!$3:$3,0)-5,1,1)),"")</f>
        <v>#N/A</v>
      </c>
      <c r="Q58" s="131" t="str">
        <f>OFFSET(ASISTENCIA!$E$1,MATCH($G58,ASISTENCIA!$E:$E,0)-1,MATCH(Q$1,ASISTENCIA!$3:$3,0)-5,1,1)</f>
        <v>#N/A</v>
      </c>
      <c r="R58" s="131" t="str">
        <f>OFFSET(ASISTENCIA!$E$1,MATCH($G58,ASISTENCIA!$E:$E,0)-1,MATCH(R$1,ASISTENCIA!$3:$3,0)-5,1,1)</f>
        <v>#N/A</v>
      </c>
      <c r="S58" s="136" t="str">
        <f>IF(TODAY()&gt;=$S$1-6,SUM(OFFSET(DEVO!$F$1,MATCH($G58,DEVO!$E:$E,0)-1,MATCH(P$1,DEVO!$1:$1,0)-6,1,7)),"")</f>
        <v>#N/A</v>
      </c>
      <c r="T58" s="131" t="str">
        <f>IF(TODAY()&gt;=$W$1-6,SUM(OFFSET(ASISTENCIA!$E$1,MATCH($G58,ASISTENCIA!$E:$E,0)-1,MATCH(T$1,ASISTENCIA!$3:$3,0)-5,1,1)),"")</f>
        <v>#N/A</v>
      </c>
      <c r="U58" s="131" t="str">
        <f>OFFSET(ASISTENCIA!$E$1,MATCH($G58,ASISTENCIA!$E:$E,0)-1,MATCH(U$1,ASISTENCIA!$3:$3,0)-5,1,1)</f>
        <v>#N/A</v>
      </c>
      <c r="V58" s="131" t="str">
        <f>OFFSET(ASISTENCIA!$E$1,MATCH($G58,ASISTENCIA!$E:$E,0)-1,MATCH(V$1,ASISTENCIA!$3:$3,0)-5,1,1)</f>
        <v>#N/A</v>
      </c>
      <c r="W58" s="136" t="str">
        <f>IF(TODAY()&gt;=$W$1-6,SUM(OFFSET(DEVO!$F$1,MATCH($G58,DEVO!$E:$E,0)-1,MATCH(T$1,DEVO!$1:$1,0)-6,1,7)),"")</f>
        <v>#N/A</v>
      </c>
      <c r="X58" s="131" t="str">
        <f>IF(TODAY()&gt;=$AA$1-6,SUM(OFFSET(ASISTENCIA!$E$1,MATCH($G58,ASISTENCIA!$E:$E,0)-1,MATCH(X$1,ASISTENCIA!$3:$3,0)-5,1,1)),"")</f>
        <v>#N/A</v>
      </c>
      <c r="Y58" s="131" t="str">
        <f>OFFSET(ASISTENCIA!$E$1,MATCH($G58,ASISTENCIA!$E:$E,0)-1,MATCH(Y$1,ASISTENCIA!$3:$3,0)-5,1,1)</f>
        <v>#N/A</v>
      </c>
      <c r="Z58" s="131" t="str">
        <f>OFFSET(ASISTENCIA!$E$1,MATCH($G58,ASISTENCIA!$E:$E,0)-1,MATCH(Z$1,ASISTENCIA!$3:$3,0)-5,1,1)</f>
        <v>#N/A</v>
      </c>
      <c r="AA58" s="136" t="str">
        <f>IF(TODAY()&gt;=$AA$1-6,SUM(OFFSET(DEVO!$F$1,MATCH($G58,DEVO!$E:$E,0)-1,MATCH(X$1,DEVO!$1:$1,0)-6,1,7)),"")</f>
        <v>#N/A</v>
      </c>
      <c r="AB58" s="131" t="str">
        <f>IF(TODAY()&gt;=$AE$1-6,SUM(OFFSET(ASISTENCIA!$E$1,MATCH($G58,ASISTENCIA!$E:$E,0)-1,MATCH(AB$1,ASISTENCIA!$3:$3,0)-5,1,1)),"")</f>
        <v>#N/A</v>
      </c>
      <c r="AC58" s="131" t="str">
        <f>OFFSET(ASISTENCIA!$E$1,MATCH($G58,ASISTENCIA!$E:$E,0)-1,MATCH(AC$1,ASISTENCIA!$3:$3,0)-5,1,1)</f>
        <v>#N/A</v>
      </c>
      <c r="AD58" s="131" t="str">
        <f>OFFSET(ASISTENCIA!$E$1,MATCH($G58,ASISTENCIA!$E:$E,0)-1,MATCH(AD$1,ASISTENCIA!$3:$3,0)-5,1,1)</f>
        <v>#N/A</v>
      </c>
      <c r="AE58" s="136" t="str">
        <f>IF(TODAY()&gt;=$AE$1-6,SUM(OFFSET(DEVO!$F$1,MATCH($G58,DEVO!$E:$E,0)-1,MATCH(AB$1,DEVO!$1:$1,0)-6,1,7)),"")</f>
        <v>#N/A</v>
      </c>
      <c r="AF58" s="131" t="str">
        <f>IF(TODAY()&gt;=$AI$1-6,SUM(OFFSET(ASISTENCIA!$E$1,MATCH($G58,ASISTENCIA!$E:$E,0)-1,MATCH(AF$1,ASISTENCIA!$3:$3,0)-5,1,1)),"")</f>
        <v>#N/A</v>
      </c>
      <c r="AG58" s="131" t="str">
        <f>OFFSET(ASISTENCIA!$E$1,MATCH($G58,ASISTENCIA!$E:$E,0)-1,MATCH(AG$1,ASISTENCIA!$3:$3,0)-5,1,1)</f>
        <v>#N/A</v>
      </c>
      <c r="AH58" s="131" t="str">
        <f>OFFSET(ASISTENCIA!$E$1,MATCH($G58,ASISTENCIA!$E:$E,0)-1,MATCH(AH$1,ASISTENCIA!$3:$3,0)-5,1,1)</f>
        <v>#N/A</v>
      </c>
      <c r="AI58" s="136" t="str">
        <f>IF(TODAY()&gt;=$AI$1-6,SUM(OFFSET(DEVO!$F$1,MATCH($G58,DEVO!$E:$E,0)-1,MATCH(AF$1,DEVO!$1:$1,0)-6,1,7)),"")</f>
        <v>#N/A</v>
      </c>
      <c r="AJ58" s="131" t="str">
        <f>IF(TODAY()&gt;=$AM$1-6,SUM(OFFSET(ASISTENCIA!$E$1,MATCH($G58,ASISTENCIA!$E:$E,0)-1,MATCH(AJ$1,ASISTENCIA!$3:$3,0)-5,1,1)),"")</f>
        <v>#N/A</v>
      </c>
      <c r="AK58" s="131" t="str">
        <f>OFFSET(ASISTENCIA!$E$1,MATCH($G58,ASISTENCIA!$E:$E,0)-1,MATCH(AK$1,ASISTENCIA!$3:$3,0)-5,1,1)</f>
        <v>#N/A</v>
      </c>
      <c r="AL58" s="131" t="str">
        <f>OFFSET(ASISTENCIA!$E$1,MATCH($G58,ASISTENCIA!$E:$E,0)-1,MATCH(AL$1,ASISTENCIA!$3:$3,0)-5,1,1)</f>
        <v>#N/A</v>
      </c>
      <c r="AM58" s="136" t="str">
        <f>IF(TODAY()&gt;=$AM$1-6,SUM(OFFSET(DEVO!$F$1,MATCH($G58,DEVO!$E:$E,0)-1,MATCH(AJ$1,DEVO!$1:$1,0)-6,1,7)),"")</f>
        <v>#N/A</v>
      </c>
      <c r="AN58" s="131" t="str">
        <f>IF(TODAY()&gt;=$AQ$1-6,SUM(OFFSET(ASISTENCIA!$E$1,MATCH($G58,ASISTENCIA!$E:$E,0)-1,MATCH(AN$1,ASISTENCIA!$3:$3,0)-5,1,1)),"")</f>
        <v>#N/A</v>
      </c>
      <c r="AO58" s="131" t="str">
        <f>OFFSET(ASISTENCIA!$E$1,MATCH($G58,ASISTENCIA!$E:$E,0)-1,MATCH(AO$1,ASISTENCIA!$3:$3,0)-5,1,1)</f>
        <v>#N/A</v>
      </c>
      <c r="AP58" s="131" t="str">
        <f>OFFSET(ASISTENCIA!$E$1,MATCH($G58,ASISTENCIA!$E:$E,0)-1,MATCH(AP$1,ASISTENCIA!$3:$3,0)-5,1,1)</f>
        <v>#N/A</v>
      </c>
      <c r="AQ58" s="136" t="str">
        <f>IF(TODAY()&gt;=$AQ$1-6,SUM(OFFSET(DEVO!$F$1,MATCH($G58,DEVO!$E:$E,0)-1,MATCH(AN$1,DEVO!$1:$1,0)-6,1,7)),"")</f>
        <v>#N/A</v>
      </c>
      <c r="AR58" s="131" t="str">
        <f>IF(TODAY()&gt;=$AU$1-6,SUM(OFFSET(ASISTENCIA!$E$1,MATCH($G58,ASISTENCIA!$E:$E,0)-1,MATCH(AR$1,ASISTENCIA!$3:$3,0)-5,1,1)),"")</f>
        <v>#N/A</v>
      </c>
      <c r="AS58" s="131" t="str">
        <f>OFFSET(ASISTENCIA!$E$1,MATCH($G58,ASISTENCIA!$E:$E,0)-1,MATCH(AS$1,ASISTENCIA!$3:$3,0)-5,1,1)</f>
        <v>#N/A</v>
      </c>
      <c r="AT58" s="131" t="str">
        <f>OFFSET(ASISTENCIA!$E$1,MATCH($G58,ASISTENCIA!$E:$E,0)-1,MATCH(AT$1,ASISTENCIA!$3:$3,0)-5,1,1)</f>
        <v>#N/A</v>
      </c>
      <c r="AU58" s="136" t="str">
        <f>IF(TODAY()&gt;=$AU$1-6,SUM(OFFSET(DEVO!$F$1,MATCH($G58,DEVO!$E:$E,0)-1,MATCH(AR$1,DEVO!$1:$1,0)-6,1,7)),"")</f>
        <v>#N/A</v>
      </c>
      <c r="AV58" s="131" t="str">
        <f>OFFSET(ASISTENCIA!$E$1,MATCH($G58,ASISTENCIA!$E:$E,0)-1,MATCH(AV$1,ASISTENCIA!$3:$3,0)-5,1,1)</f>
        <v>#N/A</v>
      </c>
      <c r="AW58" s="131" t="str">
        <f>OFFSET(ASISTENCIA!$E$1,MATCH($G58,ASISTENCIA!$E:$E,0)-1,MATCH(AW$1,ASISTENCIA!$3:$3,0)-5,1,1)</f>
        <v>#N/A</v>
      </c>
      <c r="AY58" s="173">
        <f t="shared" si="2"/>
        <v>0</v>
      </c>
      <c r="AZ58" s="174">
        <f t="shared" si="3"/>
        <v>0</v>
      </c>
      <c r="BA58" s="174">
        <f t="shared" si="4"/>
        <v>0</v>
      </c>
      <c r="BB58" s="174">
        <f t="shared" si="5"/>
        <v>0</v>
      </c>
      <c r="BC58" s="174">
        <f t="shared" si="6"/>
        <v>0</v>
      </c>
      <c r="BD58" s="174">
        <f t="shared" si="7"/>
        <v>0</v>
      </c>
      <c r="BE58" s="174">
        <f t="shared" si="8"/>
        <v>0</v>
      </c>
      <c r="BF58" s="174">
        <f t="shared" si="9"/>
        <v>0</v>
      </c>
      <c r="BG58" s="174">
        <f t="shared" si="10"/>
        <v>0</v>
      </c>
      <c r="BH58" s="152">
        <f t="shared" si="11"/>
        <v>0</v>
      </c>
      <c r="BI58" s="153" t="str">
        <f t="shared" si="12"/>
        <v>OBSERVADOS</v>
      </c>
      <c r="BJ58" s="175" t="str">
        <f t="shared" si="13"/>
        <v>#N/A</v>
      </c>
      <c r="BK58" s="176" t="str">
        <f t="shared" si="14"/>
        <v>#N/A</v>
      </c>
      <c r="BL58" s="176" t="str">
        <f t="shared" si="15"/>
        <v>#N/A</v>
      </c>
      <c r="BM58" s="176" t="str">
        <f t="shared" si="16"/>
        <v>#N/A</v>
      </c>
      <c r="BN58" s="176" t="str">
        <f t="shared" si="17"/>
        <v>#N/A</v>
      </c>
      <c r="BO58" s="176" t="str">
        <f t="shared" si="18"/>
        <v>#N/A</v>
      </c>
      <c r="BP58" s="176" t="str">
        <f t="shared" si="19"/>
        <v>#N/A</v>
      </c>
      <c r="BQ58" s="176" t="str">
        <f t="shared" si="20"/>
        <v>#N/A</v>
      </c>
      <c r="BR58" s="176" t="str">
        <f t="shared" si="21"/>
        <v>#N/A</v>
      </c>
      <c r="BS58" s="207" t="str">
        <f>OFFSET(ASISTENCIA!$E$1,MATCH($G58,ASISTENCIA!$E:$E,0)-1,MATCH(BS$1,ASISTENCIA!$3:$3,0)-5,1,1)</f>
        <v>#N/A</v>
      </c>
      <c r="BT58" s="207" t="str">
        <f>OFFSET(ASISTENCIA!$E$1,MATCH($G58,ASISTENCIA!$E:$E,0)-1,MATCH(BT$1,ASISTENCIA!$3:$3,0)-5,1,1)</f>
        <v>#N/A</v>
      </c>
      <c r="BU58" s="215" t="str">
        <f>OFFSET(ASISTENCIA!$E$1,MATCH($G58,ASISTENCIA!$E:$E,0)-1,MATCH(BU$1,ASISTENCIA!$3:$3,0)-5,1,1)</f>
        <v>#N/A</v>
      </c>
      <c r="BV58" s="215" t="str">
        <f>OFFSET(ASISTENCIA!$E$1,MATCH($G58,ASISTENCIA!$E:$E,0)-1,MATCH(BV$1,ASISTENCIA!$3:$3,0)-5,1,1)</f>
        <v>#N/A</v>
      </c>
      <c r="BW58" s="55"/>
      <c r="BX58" s="55"/>
      <c r="BY58" s="55"/>
    </row>
    <row r="59">
      <c r="A59" s="123">
        <f t="shared" si="22"/>
        <v>56</v>
      </c>
      <c r="B59" s="127"/>
      <c r="C59" s="128"/>
      <c r="D59" s="128"/>
      <c r="E59" s="127"/>
      <c r="F59" s="127"/>
      <c r="G59" s="128"/>
      <c r="H59" s="128"/>
      <c r="I59" s="129"/>
      <c r="J59" s="129" t="str">
        <f>DEVO!F60</f>
        <v/>
      </c>
      <c r="K59" s="129" t="str">
        <f t="shared" si="1"/>
        <v/>
      </c>
      <c r="L59" s="131" t="str">
        <f>IF(TODAY()&gt;=$O$1-6,SUM(OFFSET(ASISTENCIA!$E$1,MATCH($G59,ASISTENCIA!$E:$E,0)-1,MATCH(L$1,ASISTENCIA!$3:$3,0)-5,1,1)),"")</f>
        <v>#N/A</v>
      </c>
      <c r="M59" s="131" t="str">
        <f>OFFSET(ASISTENCIA!$E$1,MATCH($G59,ASISTENCIA!$E:$E,0)-1,MATCH(M$1,ASISTENCIA!$3:$3,0)-5,1,1)</f>
        <v>#N/A</v>
      </c>
      <c r="N59" s="131" t="str">
        <f>OFFSET(ASISTENCIA!$E$1,MATCH($G59,ASISTENCIA!$E:$E,0)-1,MATCH(N$1,ASISTENCIA!$3:$3,0)-5,1,1)</f>
        <v>#N/A</v>
      </c>
      <c r="O59" s="136" t="str">
        <f>IF(TODAY()&gt;=$O$1-6,SUM(OFFSET(DEVO!$F$1,MATCH($G59,DEVO!$E:$E,0)-1,MATCH(L$1,DEVO!$1:$1,0)-6,1,7)),"")</f>
        <v>#N/A</v>
      </c>
      <c r="P59" s="131" t="str">
        <f>IF(TODAY()&gt;=$S$1-6,SUM(OFFSET(ASISTENCIA!$E$1,MATCH($G59,ASISTENCIA!$E:$E,0)-1,MATCH(P$1,ASISTENCIA!$3:$3,0)-5,1,1)),"")</f>
        <v>#N/A</v>
      </c>
      <c r="Q59" s="131" t="str">
        <f>OFFSET(ASISTENCIA!$E$1,MATCH($G59,ASISTENCIA!$E:$E,0)-1,MATCH(Q$1,ASISTENCIA!$3:$3,0)-5,1,1)</f>
        <v>#N/A</v>
      </c>
      <c r="R59" s="131" t="str">
        <f>OFFSET(ASISTENCIA!$E$1,MATCH($G59,ASISTENCIA!$E:$E,0)-1,MATCH(R$1,ASISTENCIA!$3:$3,0)-5,1,1)</f>
        <v>#N/A</v>
      </c>
      <c r="S59" s="136" t="str">
        <f>IF(TODAY()&gt;=$S$1-6,SUM(OFFSET(DEVO!$F$1,MATCH($G59,DEVO!$E:$E,0)-1,MATCH(P$1,DEVO!$1:$1,0)-6,1,7)),"")</f>
        <v>#N/A</v>
      </c>
      <c r="T59" s="131" t="str">
        <f>IF(TODAY()&gt;=$W$1-6,SUM(OFFSET(ASISTENCIA!$E$1,MATCH($G59,ASISTENCIA!$E:$E,0)-1,MATCH(T$1,ASISTENCIA!$3:$3,0)-5,1,1)),"")</f>
        <v>#N/A</v>
      </c>
      <c r="U59" s="131" t="str">
        <f>OFFSET(ASISTENCIA!$E$1,MATCH($G59,ASISTENCIA!$E:$E,0)-1,MATCH(U$1,ASISTENCIA!$3:$3,0)-5,1,1)</f>
        <v>#N/A</v>
      </c>
      <c r="V59" s="131" t="str">
        <f>OFFSET(ASISTENCIA!$E$1,MATCH($G59,ASISTENCIA!$E:$E,0)-1,MATCH(V$1,ASISTENCIA!$3:$3,0)-5,1,1)</f>
        <v>#N/A</v>
      </c>
      <c r="W59" s="136" t="str">
        <f>IF(TODAY()&gt;=$W$1-6,SUM(OFFSET(DEVO!$F$1,MATCH($G59,DEVO!$E:$E,0)-1,MATCH(T$1,DEVO!$1:$1,0)-6,1,7)),"")</f>
        <v>#N/A</v>
      </c>
      <c r="X59" s="131" t="str">
        <f>IF(TODAY()&gt;=$AA$1-6,SUM(OFFSET(ASISTENCIA!$E$1,MATCH($G59,ASISTENCIA!$E:$E,0)-1,MATCH(X$1,ASISTENCIA!$3:$3,0)-5,1,1)),"")</f>
        <v>#N/A</v>
      </c>
      <c r="Y59" s="131" t="str">
        <f>OFFSET(ASISTENCIA!$E$1,MATCH($G59,ASISTENCIA!$E:$E,0)-1,MATCH(Y$1,ASISTENCIA!$3:$3,0)-5,1,1)</f>
        <v>#N/A</v>
      </c>
      <c r="Z59" s="131" t="str">
        <f>OFFSET(ASISTENCIA!$E$1,MATCH($G59,ASISTENCIA!$E:$E,0)-1,MATCH(Z$1,ASISTENCIA!$3:$3,0)-5,1,1)</f>
        <v>#N/A</v>
      </c>
      <c r="AA59" s="136" t="str">
        <f>IF(TODAY()&gt;=$AA$1-6,SUM(OFFSET(DEVO!$F$1,MATCH($G59,DEVO!$E:$E,0)-1,MATCH(X$1,DEVO!$1:$1,0)-6,1,7)),"")</f>
        <v>#N/A</v>
      </c>
      <c r="AB59" s="131" t="str">
        <f>IF(TODAY()&gt;=$AE$1-6,SUM(OFFSET(ASISTENCIA!$E$1,MATCH($G59,ASISTENCIA!$E:$E,0)-1,MATCH(AB$1,ASISTENCIA!$3:$3,0)-5,1,1)),"")</f>
        <v>#N/A</v>
      </c>
      <c r="AC59" s="131" t="str">
        <f>OFFSET(ASISTENCIA!$E$1,MATCH($G59,ASISTENCIA!$E:$E,0)-1,MATCH(AC$1,ASISTENCIA!$3:$3,0)-5,1,1)</f>
        <v>#N/A</v>
      </c>
      <c r="AD59" s="131" t="str">
        <f>OFFSET(ASISTENCIA!$E$1,MATCH($G59,ASISTENCIA!$E:$E,0)-1,MATCH(AD$1,ASISTENCIA!$3:$3,0)-5,1,1)</f>
        <v>#N/A</v>
      </c>
      <c r="AE59" s="136" t="str">
        <f>IF(TODAY()&gt;=$AE$1-6,SUM(OFFSET(DEVO!$F$1,MATCH($G59,DEVO!$E:$E,0)-1,MATCH(AB$1,DEVO!$1:$1,0)-6,1,7)),"")</f>
        <v>#N/A</v>
      </c>
      <c r="AF59" s="131" t="str">
        <f>IF(TODAY()&gt;=$AI$1-6,SUM(OFFSET(ASISTENCIA!$E$1,MATCH($G59,ASISTENCIA!$E:$E,0)-1,MATCH(AF$1,ASISTENCIA!$3:$3,0)-5,1,1)),"")</f>
        <v>#N/A</v>
      </c>
      <c r="AG59" s="131" t="str">
        <f>OFFSET(ASISTENCIA!$E$1,MATCH($G59,ASISTENCIA!$E:$E,0)-1,MATCH(AG$1,ASISTENCIA!$3:$3,0)-5,1,1)</f>
        <v>#N/A</v>
      </c>
      <c r="AH59" s="131" t="str">
        <f>OFFSET(ASISTENCIA!$E$1,MATCH($G59,ASISTENCIA!$E:$E,0)-1,MATCH(AH$1,ASISTENCIA!$3:$3,0)-5,1,1)</f>
        <v>#N/A</v>
      </c>
      <c r="AI59" s="136" t="str">
        <f>IF(TODAY()&gt;=$AI$1-6,SUM(OFFSET(DEVO!$F$1,MATCH($G59,DEVO!$E:$E,0)-1,MATCH(AF$1,DEVO!$1:$1,0)-6,1,7)),"")</f>
        <v>#N/A</v>
      </c>
      <c r="AJ59" s="131" t="str">
        <f>IF(TODAY()&gt;=$AM$1-6,SUM(OFFSET(ASISTENCIA!$E$1,MATCH($G59,ASISTENCIA!$E:$E,0)-1,MATCH(AJ$1,ASISTENCIA!$3:$3,0)-5,1,1)),"")</f>
        <v>#N/A</v>
      </c>
      <c r="AK59" s="131" t="str">
        <f>OFFSET(ASISTENCIA!$E$1,MATCH($G59,ASISTENCIA!$E:$E,0)-1,MATCH(AK$1,ASISTENCIA!$3:$3,0)-5,1,1)</f>
        <v>#N/A</v>
      </c>
      <c r="AL59" s="131" t="str">
        <f>OFFSET(ASISTENCIA!$E$1,MATCH($G59,ASISTENCIA!$E:$E,0)-1,MATCH(AL$1,ASISTENCIA!$3:$3,0)-5,1,1)</f>
        <v>#N/A</v>
      </c>
      <c r="AM59" s="136" t="str">
        <f>IF(TODAY()&gt;=$AM$1-6,SUM(OFFSET(DEVO!$F$1,MATCH($G59,DEVO!$E:$E,0)-1,MATCH(AJ$1,DEVO!$1:$1,0)-6,1,7)),"")</f>
        <v>#N/A</v>
      </c>
      <c r="AN59" s="131" t="str">
        <f>IF(TODAY()&gt;=$AQ$1-6,SUM(OFFSET(ASISTENCIA!$E$1,MATCH($G59,ASISTENCIA!$E:$E,0)-1,MATCH(AN$1,ASISTENCIA!$3:$3,0)-5,1,1)),"")</f>
        <v>#N/A</v>
      </c>
      <c r="AO59" s="131" t="str">
        <f>OFFSET(ASISTENCIA!$E$1,MATCH($G59,ASISTENCIA!$E:$E,0)-1,MATCH(AO$1,ASISTENCIA!$3:$3,0)-5,1,1)</f>
        <v>#N/A</v>
      </c>
      <c r="AP59" s="131" t="str">
        <f>OFFSET(ASISTENCIA!$E$1,MATCH($G59,ASISTENCIA!$E:$E,0)-1,MATCH(AP$1,ASISTENCIA!$3:$3,0)-5,1,1)</f>
        <v>#N/A</v>
      </c>
      <c r="AQ59" s="136" t="str">
        <f>IF(TODAY()&gt;=$AQ$1-6,SUM(OFFSET(DEVO!$F$1,MATCH($G59,DEVO!$E:$E,0)-1,MATCH(AN$1,DEVO!$1:$1,0)-6,1,7)),"")</f>
        <v>#N/A</v>
      </c>
      <c r="AR59" s="131" t="str">
        <f>IF(TODAY()&gt;=$AU$1-6,SUM(OFFSET(ASISTENCIA!$E$1,MATCH($G59,ASISTENCIA!$E:$E,0)-1,MATCH(AR$1,ASISTENCIA!$3:$3,0)-5,1,1)),"")</f>
        <v>#N/A</v>
      </c>
      <c r="AS59" s="131" t="str">
        <f>OFFSET(ASISTENCIA!$E$1,MATCH($G59,ASISTENCIA!$E:$E,0)-1,MATCH(AS$1,ASISTENCIA!$3:$3,0)-5,1,1)</f>
        <v>#N/A</v>
      </c>
      <c r="AT59" s="131" t="str">
        <f>OFFSET(ASISTENCIA!$E$1,MATCH($G59,ASISTENCIA!$E:$E,0)-1,MATCH(AT$1,ASISTENCIA!$3:$3,0)-5,1,1)</f>
        <v>#N/A</v>
      </c>
      <c r="AU59" s="136" t="str">
        <f>IF(TODAY()&gt;=$AU$1-6,SUM(OFFSET(DEVO!$F$1,MATCH($G59,DEVO!$E:$E,0)-1,MATCH(AR$1,DEVO!$1:$1,0)-6,1,7)),"")</f>
        <v>#N/A</v>
      </c>
      <c r="AV59" s="131" t="str">
        <f>OFFSET(ASISTENCIA!$E$1,MATCH($G59,ASISTENCIA!$E:$E,0)-1,MATCH(AV$1,ASISTENCIA!$3:$3,0)-5,1,1)</f>
        <v>#N/A</v>
      </c>
      <c r="AW59" s="131" t="str">
        <f>OFFSET(ASISTENCIA!$E$1,MATCH($G59,ASISTENCIA!$E:$E,0)-1,MATCH(AW$1,ASISTENCIA!$3:$3,0)-5,1,1)</f>
        <v>#N/A</v>
      </c>
      <c r="AY59" s="173">
        <f t="shared" si="2"/>
        <v>0</v>
      </c>
      <c r="AZ59" s="174">
        <f t="shared" si="3"/>
        <v>0</v>
      </c>
      <c r="BA59" s="174">
        <f t="shared" si="4"/>
        <v>0</v>
      </c>
      <c r="BB59" s="174">
        <f t="shared" si="5"/>
        <v>0</v>
      </c>
      <c r="BC59" s="174">
        <f t="shared" si="6"/>
        <v>0</v>
      </c>
      <c r="BD59" s="174">
        <f t="shared" si="7"/>
        <v>0</v>
      </c>
      <c r="BE59" s="174">
        <f t="shared" si="8"/>
        <v>0</v>
      </c>
      <c r="BF59" s="174">
        <f t="shared" si="9"/>
        <v>0</v>
      </c>
      <c r="BG59" s="174">
        <f t="shared" si="10"/>
        <v>0</v>
      </c>
      <c r="BH59" s="152">
        <f t="shared" si="11"/>
        <v>0</v>
      </c>
      <c r="BI59" s="153" t="str">
        <f t="shared" si="12"/>
        <v>OBSERVADOS</v>
      </c>
      <c r="BJ59" s="175" t="str">
        <f t="shared" si="13"/>
        <v>#N/A</v>
      </c>
      <c r="BK59" s="176" t="str">
        <f t="shared" si="14"/>
        <v>#N/A</v>
      </c>
      <c r="BL59" s="176" t="str">
        <f t="shared" si="15"/>
        <v>#N/A</v>
      </c>
      <c r="BM59" s="176" t="str">
        <f t="shared" si="16"/>
        <v>#N/A</v>
      </c>
      <c r="BN59" s="176" t="str">
        <f t="shared" si="17"/>
        <v>#N/A</v>
      </c>
      <c r="BO59" s="176" t="str">
        <f t="shared" si="18"/>
        <v>#N/A</v>
      </c>
      <c r="BP59" s="176" t="str">
        <f t="shared" si="19"/>
        <v>#N/A</v>
      </c>
      <c r="BQ59" s="176" t="str">
        <f t="shared" si="20"/>
        <v>#N/A</v>
      </c>
      <c r="BR59" s="176" t="str">
        <f t="shared" si="21"/>
        <v>#N/A</v>
      </c>
      <c r="BS59" s="207" t="str">
        <f>OFFSET(ASISTENCIA!$E$1,MATCH($G59,ASISTENCIA!$E:$E,0)-1,MATCH(BS$1,ASISTENCIA!$3:$3,0)-5,1,1)</f>
        <v>#N/A</v>
      </c>
      <c r="BT59" s="207" t="str">
        <f>OFFSET(ASISTENCIA!$E$1,MATCH($G59,ASISTENCIA!$E:$E,0)-1,MATCH(BT$1,ASISTENCIA!$3:$3,0)-5,1,1)</f>
        <v>#N/A</v>
      </c>
      <c r="BU59" s="215" t="str">
        <f>OFFSET(ASISTENCIA!$E$1,MATCH($G59,ASISTENCIA!$E:$E,0)-1,MATCH(BU$1,ASISTENCIA!$3:$3,0)-5,1,1)</f>
        <v>#N/A</v>
      </c>
      <c r="BV59" s="215" t="str">
        <f>OFFSET(ASISTENCIA!$E$1,MATCH($G59,ASISTENCIA!$E:$E,0)-1,MATCH(BV$1,ASISTENCIA!$3:$3,0)-5,1,1)</f>
        <v>#N/A</v>
      </c>
      <c r="BW59" s="55"/>
      <c r="BX59" s="55"/>
      <c r="BY59" s="55"/>
    </row>
    <row r="60">
      <c r="A60" s="123">
        <f t="shared" si="22"/>
        <v>57</v>
      </c>
      <c r="B60" s="127"/>
      <c r="C60" s="128"/>
      <c r="D60" s="128"/>
      <c r="E60" s="127"/>
      <c r="F60" s="127"/>
      <c r="G60" s="128"/>
      <c r="H60" s="128"/>
      <c r="I60" s="129"/>
      <c r="J60" s="129" t="str">
        <f>DEVO!F61</f>
        <v/>
      </c>
      <c r="K60" s="129" t="str">
        <f t="shared" si="1"/>
        <v/>
      </c>
      <c r="L60" s="131" t="str">
        <f>IF(TODAY()&gt;=$O$1-6,SUM(OFFSET(ASISTENCIA!$E$1,MATCH($G60,ASISTENCIA!$E:$E,0)-1,MATCH(L$1,ASISTENCIA!$3:$3,0)-5,1,1)),"")</f>
        <v>#N/A</v>
      </c>
      <c r="M60" s="131" t="str">
        <f>OFFSET(ASISTENCIA!$E$1,MATCH($G60,ASISTENCIA!$E:$E,0)-1,MATCH(M$1,ASISTENCIA!$3:$3,0)-5,1,1)</f>
        <v>#N/A</v>
      </c>
      <c r="N60" s="131" t="str">
        <f>OFFSET(ASISTENCIA!$E$1,MATCH($G60,ASISTENCIA!$E:$E,0)-1,MATCH(N$1,ASISTENCIA!$3:$3,0)-5,1,1)</f>
        <v>#N/A</v>
      </c>
      <c r="O60" s="136" t="str">
        <f>IF(TODAY()&gt;=$O$1-6,SUM(OFFSET(DEVO!$F$1,MATCH($G60,DEVO!$E:$E,0)-1,MATCH(L$1,DEVO!$1:$1,0)-6,1,7)),"")</f>
        <v>#N/A</v>
      </c>
      <c r="P60" s="131" t="str">
        <f>IF(TODAY()&gt;=$S$1-6,SUM(OFFSET(ASISTENCIA!$E$1,MATCH($G60,ASISTENCIA!$E:$E,0)-1,MATCH(P$1,ASISTENCIA!$3:$3,0)-5,1,1)),"")</f>
        <v>#N/A</v>
      </c>
      <c r="Q60" s="131" t="str">
        <f>OFFSET(ASISTENCIA!$E$1,MATCH($G60,ASISTENCIA!$E:$E,0)-1,MATCH(Q$1,ASISTENCIA!$3:$3,0)-5,1,1)</f>
        <v>#N/A</v>
      </c>
      <c r="R60" s="131" t="str">
        <f>OFFSET(ASISTENCIA!$E$1,MATCH($G60,ASISTENCIA!$E:$E,0)-1,MATCH(R$1,ASISTENCIA!$3:$3,0)-5,1,1)</f>
        <v>#N/A</v>
      </c>
      <c r="S60" s="136" t="str">
        <f>IF(TODAY()&gt;=$S$1-6,SUM(OFFSET(DEVO!$F$1,MATCH($G60,DEVO!$E:$E,0)-1,MATCH(P$1,DEVO!$1:$1,0)-6,1,7)),"")</f>
        <v>#N/A</v>
      </c>
      <c r="T60" s="131" t="str">
        <f>IF(TODAY()&gt;=$W$1-6,SUM(OFFSET(ASISTENCIA!$E$1,MATCH($G60,ASISTENCIA!$E:$E,0)-1,MATCH(T$1,ASISTENCIA!$3:$3,0)-5,1,1)),"")</f>
        <v>#N/A</v>
      </c>
      <c r="U60" s="131" t="str">
        <f>OFFSET(ASISTENCIA!$E$1,MATCH($G60,ASISTENCIA!$E:$E,0)-1,MATCH(U$1,ASISTENCIA!$3:$3,0)-5,1,1)</f>
        <v>#N/A</v>
      </c>
      <c r="V60" s="131" t="str">
        <f>OFFSET(ASISTENCIA!$E$1,MATCH($G60,ASISTENCIA!$E:$E,0)-1,MATCH(V$1,ASISTENCIA!$3:$3,0)-5,1,1)</f>
        <v>#N/A</v>
      </c>
      <c r="W60" s="136" t="str">
        <f>IF(TODAY()&gt;=$W$1-6,SUM(OFFSET(DEVO!$F$1,MATCH($G60,DEVO!$E:$E,0)-1,MATCH(T$1,DEVO!$1:$1,0)-6,1,7)),"")</f>
        <v>#N/A</v>
      </c>
      <c r="X60" s="131" t="str">
        <f>IF(TODAY()&gt;=$AA$1-6,SUM(OFFSET(ASISTENCIA!$E$1,MATCH($G60,ASISTENCIA!$E:$E,0)-1,MATCH(X$1,ASISTENCIA!$3:$3,0)-5,1,1)),"")</f>
        <v>#N/A</v>
      </c>
      <c r="Y60" s="131" t="str">
        <f>OFFSET(ASISTENCIA!$E$1,MATCH($G60,ASISTENCIA!$E:$E,0)-1,MATCH(Y$1,ASISTENCIA!$3:$3,0)-5,1,1)</f>
        <v>#N/A</v>
      </c>
      <c r="Z60" s="131" t="str">
        <f>OFFSET(ASISTENCIA!$E$1,MATCH($G60,ASISTENCIA!$E:$E,0)-1,MATCH(Z$1,ASISTENCIA!$3:$3,0)-5,1,1)</f>
        <v>#N/A</v>
      </c>
      <c r="AA60" s="136" t="str">
        <f>IF(TODAY()&gt;=$AA$1-6,SUM(OFFSET(DEVO!$F$1,MATCH($G60,DEVO!$E:$E,0)-1,MATCH(X$1,DEVO!$1:$1,0)-6,1,7)),"")</f>
        <v>#N/A</v>
      </c>
      <c r="AB60" s="131" t="str">
        <f>IF(TODAY()&gt;=$AE$1-6,SUM(OFFSET(ASISTENCIA!$E$1,MATCH($G60,ASISTENCIA!$E:$E,0)-1,MATCH(AB$1,ASISTENCIA!$3:$3,0)-5,1,1)),"")</f>
        <v>#N/A</v>
      </c>
      <c r="AC60" s="131" t="str">
        <f>OFFSET(ASISTENCIA!$E$1,MATCH($G60,ASISTENCIA!$E:$E,0)-1,MATCH(AC$1,ASISTENCIA!$3:$3,0)-5,1,1)</f>
        <v>#N/A</v>
      </c>
      <c r="AD60" s="131" t="str">
        <f>OFFSET(ASISTENCIA!$E$1,MATCH($G60,ASISTENCIA!$E:$E,0)-1,MATCH(AD$1,ASISTENCIA!$3:$3,0)-5,1,1)</f>
        <v>#N/A</v>
      </c>
      <c r="AE60" s="136" t="str">
        <f>IF(TODAY()&gt;=$AE$1-6,SUM(OFFSET(DEVO!$F$1,MATCH($G60,DEVO!$E:$E,0)-1,MATCH(AB$1,DEVO!$1:$1,0)-6,1,7)),"")</f>
        <v>#N/A</v>
      </c>
      <c r="AF60" s="131" t="str">
        <f>IF(TODAY()&gt;=$AI$1-6,SUM(OFFSET(ASISTENCIA!$E$1,MATCH($G60,ASISTENCIA!$E:$E,0)-1,MATCH(AF$1,ASISTENCIA!$3:$3,0)-5,1,1)),"")</f>
        <v>#N/A</v>
      </c>
      <c r="AG60" s="131" t="str">
        <f>OFFSET(ASISTENCIA!$E$1,MATCH($G60,ASISTENCIA!$E:$E,0)-1,MATCH(AG$1,ASISTENCIA!$3:$3,0)-5,1,1)</f>
        <v>#N/A</v>
      </c>
      <c r="AH60" s="131" t="str">
        <f>OFFSET(ASISTENCIA!$E$1,MATCH($G60,ASISTENCIA!$E:$E,0)-1,MATCH(AH$1,ASISTENCIA!$3:$3,0)-5,1,1)</f>
        <v>#N/A</v>
      </c>
      <c r="AI60" s="136" t="str">
        <f>IF(TODAY()&gt;=$AI$1-6,SUM(OFFSET(DEVO!$F$1,MATCH($G60,DEVO!$E:$E,0)-1,MATCH(AF$1,DEVO!$1:$1,0)-6,1,7)),"")</f>
        <v>#N/A</v>
      </c>
      <c r="AJ60" s="131" t="str">
        <f>IF(TODAY()&gt;=$AM$1-6,SUM(OFFSET(ASISTENCIA!$E$1,MATCH($G60,ASISTENCIA!$E:$E,0)-1,MATCH(AJ$1,ASISTENCIA!$3:$3,0)-5,1,1)),"")</f>
        <v>#N/A</v>
      </c>
      <c r="AK60" s="131" t="str">
        <f>OFFSET(ASISTENCIA!$E$1,MATCH($G60,ASISTENCIA!$E:$E,0)-1,MATCH(AK$1,ASISTENCIA!$3:$3,0)-5,1,1)</f>
        <v>#N/A</v>
      </c>
      <c r="AL60" s="131" t="str">
        <f>OFFSET(ASISTENCIA!$E$1,MATCH($G60,ASISTENCIA!$E:$E,0)-1,MATCH(AL$1,ASISTENCIA!$3:$3,0)-5,1,1)</f>
        <v>#N/A</v>
      </c>
      <c r="AM60" s="136" t="str">
        <f>IF(TODAY()&gt;=$AM$1-6,SUM(OFFSET(DEVO!$F$1,MATCH($G60,DEVO!$E:$E,0)-1,MATCH(AJ$1,DEVO!$1:$1,0)-6,1,7)),"")</f>
        <v>#N/A</v>
      </c>
      <c r="AN60" s="131" t="str">
        <f>IF(TODAY()&gt;=$AQ$1-6,SUM(OFFSET(ASISTENCIA!$E$1,MATCH($G60,ASISTENCIA!$E:$E,0)-1,MATCH(AN$1,ASISTENCIA!$3:$3,0)-5,1,1)),"")</f>
        <v>#N/A</v>
      </c>
      <c r="AO60" s="131" t="str">
        <f>OFFSET(ASISTENCIA!$E$1,MATCH($G60,ASISTENCIA!$E:$E,0)-1,MATCH(AO$1,ASISTENCIA!$3:$3,0)-5,1,1)</f>
        <v>#N/A</v>
      </c>
      <c r="AP60" s="131" t="str">
        <f>OFFSET(ASISTENCIA!$E$1,MATCH($G60,ASISTENCIA!$E:$E,0)-1,MATCH(AP$1,ASISTENCIA!$3:$3,0)-5,1,1)</f>
        <v>#N/A</v>
      </c>
      <c r="AQ60" s="136" t="str">
        <f>IF(TODAY()&gt;=$AQ$1-6,SUM(OFFSET(DEVO!$F$1,MATCH($G60,DEVO!$E:$E,0)-1,MATCH(AN$1,DEVO!$1:$1,0)-6,1,7)),"")</f>
        <v>#N/A</v>
      </c>
      <c r="AR60" s="131" t="str">
        <f>IF(TODAY()&gt;=$AU$1-6,SUM(OFFSET(ASISTENCIA!$E$1,MATCH($G60,ASISTENCIA!$E:$E,0)-1,MATCH(AR$1,ASISTENCIA!$3:$3,0)-5,1,1)),"")</f>
        <v>#N/A</v>
      </c>
      <c r="AS60" s="131" t="str">
        <f>OFFSET(ASISTENCIA!$E$1,MATCH($G60,ASISTENCIA!$E:$E,0)-1,MATCH(AS$1,ASISTENCIA!$3:$3,0)-5,1,1)</f>
        <v>#N/A</v>
      </c>
      <c r="AT60" s="131" t="str">
        <f>OFFSET(ASISTENCIA!$E$1,MATCH($G60,ASISTENCIA!$E:$E,0)-1,MATCH(AT$1,ASISTENCIA!$3:$3,0)-5,1,1)</f>
        <v>#N/A</v>
      </c>
      <c r="AU60" s="136" t="str">
        <f>IF(TODAY()&gt;=$AU$1-6,SUM(OFFSET(DEVO!$F$1,MATCH($G60,DEVO!$E:$E,0)-1,MATCH(AR$1,DEVO!$1:$1,0)-6,1,7)),"")</f>
        <v>#N/A</v>
      </c>
      <c r="AV60" s="131" t="str">
        <f>OFFSET(ASISTENCIA!$E$1,MATCH($G60,ASISTENCIA!$E:$E,0)-1,MATCH(AV$1,ASISTENCIA!$3:$3,0)-5,1,1)</f>
        <v>#N/A</v>
      </c>
      <c r="AW60" s="131" t="str">
        <f>OFFSET(ASISTENCIA!$E$1,MATCH($G60,ASISTENCIA!$E:$E,0)-1,MATCH(AW$1,ASISTENCIA!$3:$3,0)-5,1,1)</f>
        <v>#N/A</v>
      </c>
      <c r="AY60" s="173">
        <f t="shared" si="2"/>
        <v>0</v>
      </c>
      <c r="AZ60" s="174">
        <f t="shared" si="3"/>
        <v>0</v>
      </c>
      <c r="BA60" s="174">
        <f t="shared" si="4"/>
        <v>0</v>
      </c>
      <c r="BB60" s="174">
        <f t="shared" si="5"/>
        <v>0</v>
      </c>
      <c r="BC60" s="174">
        <f t="shared" si="6"/>
        <v>0</v>
      </c>
      <c r="BD60" s="174">
        <f t="shared" si="7"/>
        <v>0</v>
      </c>
      <c r="BE60" s="174">
        <f t="shared" si="8"/>
        <v>0</v>
      </c>
      <c r="BF60" s="174">
        <f t="shared" si="9"/>
        <v>0</v>
      </c>
      <c r="BG60" s="174">
        <f t="shared" si="10"/>
        <v>0</v>
      </c>
      <c r="BH60" s="152">
        <f t="shared" si="11"/>
        <v>0</v>
      </c>
      <c r="BI60" s="153" t="str">
        <f t="shared" si="12"/>
        <v>OBSERVADOS</v>
      </c>
      <c r="BJ60" s="175" t="str">
        <f t="shared" si="13"/>
        <v>#N/A</v>
      </c>
      <c r="BK60" s="176" t="str">
        <f t="shared" si="14"/>
        <v>#N/A</v>
      </c>
      <c r="BL60" s="176" t="str">
        <f t="shared" si="15"/>
        <v>#N/A</v>
      </c>
      <c r="BM60" s="176" t="str">
        <f t="shared" si="16"/>
        <v>#N/A</v>
      </c>
      <c r="BN60" s="176" t="str">
        <f t="shared" si="17"/>
        <v>#N/A</v>
      </c>
      <c r="BO60" s="176" t="str">
        <f t="shared" si="18"/>
        <v>#N/A</v>
      </c>
      <c r="BP60" s="176" t="str">
        <f t="shared" si="19"/>
        <v>#N/A</v>
      </c>
      <c r="BQ60" s="176" t="str">
        <f t="shared" si="20"/>
        <v>#N/A</v>
      </c>
      <c r="BR60" s="176" t="str">
        <f t="shared" si="21"/>
        <v>#N/A</v>
      </c>
      <c r="BS60" s="207" t="str">
        <f>OFFSET(ASISTENCIA!$E$1,MATCH($G60,ASISTENCIA!$E:$E,0)-1,MATCH(BS$1,ASISTENCIA!$3:$3,0)-5,1,1)</f>
        <v>#N/A</v>
      </c>
      <c r="BT60" s="207" t="str">
        <f>OFFSET(ASISTENCIA!$E$1,MATCH($G60,ASISTENCIA!$E:$E,0)-1,MATCH(BT$1,ASISTENCIA!$3:$3,0)-5,1,1)</f>
        <v>#N/A</v>
      </c>
      <c r="BU60" s="215" t="str">
        <f>OFFSET(ASISTENCIA!$E$1,MATCH($G60,ASISTENCIA!$E:$E,0)-1,MATCH(BU$1,ASISTENCIA!$3:$3,0)-5,1,1)</f>
        <v>#N/A</v>
      </c>
      <c r="BV60" s="215" t="str">
        <f>OFFSET(ASISTENCIA!$E$1,MATCH($G60,ASISTENCIA!$E:$E,0)-1,MATCH(BV$1,ASISTENCIA!$3:$3,0)-5,1,1)</f>
        <v>#N/A</v>
      </c>
      <c r="BW60" s="55"/>
      <c r="BX60" s="55"/>
      <c r="BY60" s="55"/>
    </row>
    <row r="61">
      <c r="A61" s="123">
        <f t="shared" si="22"/>
        <v>58</v>
      </c>
      <c r="B61" s="127"/>
      <c r="C61" s="128"/>
      <c r="D61" s="128"/>
      <c r="E61" s="127"/>
      <c r="F61" s="127"/>
      <c r="G61" s="128"/>
      <c r="H61" s="128"/>
      <c r="I61" s="129"/>
      <c r="J61" s="129" t="str">
        <f>DEVO!F62</f>
        <v/>
      </c>
      <c r="K61" s="129" t="str">
        <f t="shared" si="1"/>
        <v/>
      </c>
      <c r="L61" s="131" t="str">
        <f>IF(TODAY()&gt;=$O$1-6,SUM(OFFSET(ASISTENCIA!$E$1,MATCH($G61,ASISTENCIA!$E:$E,0)-1,MATCH(L$1,ASISTENCIA!$3:$3,0)-5,1,1)),"")</f>
        <v>#N/A</v>
      </c>
      <c r="M61" s="131" t="str">
        <f>OFFSET(ASISTENCIA!$E$1,MATCH($G61,ASISTENCIA!$E:$E,0)-1,MATCH(M$1,ASISTENCIA!$3:$3,0)-5,1,1)</f>
        <v>#N/A</v>
      </c>
      <c r="N61" s="131" t="str">
        <f>OFFSET(ASISTENCIA!$E$1,MATCH($G61,ASISTENCIA!$E:$E,0)-1,MATCH(N$1,ASISTENCIA!$3:$3,0)-5,1,1)</f>
        <v>#N/A</v>
      </c>
      <c r="O61" s="136" t="str">
        <f>IF(TODAY()&gt;=$O$1-6,SUM(OFFSET(DEVO!$F$1,MATCH($G61,DEVO!$E:$E,0)-1,MATCH(L$1,DEVO!$1:$1,0)-6,1,7)),"")</f>
        <v>#N/A</v>
      </c>
      <c r="P61" s="131" t="str">
        <f>IF(TODAY()&gt;=$S$1-6,SUM(OFFSET(ASISTENCIA!$E$1,MATCH($G61,ASISTENCIA!$E:$E,0)-1,MATCH(P$1,ASISTENCIA!$3:$3,0)-5,1,1)),"")</f>
        <v>#N/A</v>
      </c>
      <c r="Q61" s="131" t="str">
        <f>OFFSET(ASISTENCIA!$E$1,MATCH($G61,ASISTENCIA!$E:$E,0)-1,MATCH(Q$1,ASISTENCIA!$3:$3,0)-5,1,1)</f>
        <v>#N/A</v>
      </c>
      <c r="R61" s="131" t="str">
        <f>OFFSET(ASISTENCIA!$E$1,MATCH($G61,ASISTENCIA!$E:$E,0)-1,MATCH(R$1,ASISTENCIA!$3:$3,0)-5,1,1)</f>
        <v>#N/A</v>
      </c>
      <c r="S61" s="136" t="str">
        <f>IF(TODAY()&gt;=$S$1-6,SUM(OFFSET(DEVO!$F$1,MATCH($G61,DEVO!$E:$E,0)-1,MATCH(P$1,DEVO!$1:$1,0)-6,1,7)),"")</f>
        <v>#N/A</v>
      </c>
      <c r="T61" s="131" t="str">
        <f>IF(TODAY()&gt;=$W$1-6,SUM(OFFSET(ASISTENCIA!$E$1,MATCH($G61,ASISTENCIA!$E:$E,0)-1,MATCH(T$1,ASISTENCIA!$3:$3,0)-5,1,1)),"")</f>
        <v>#N/A</v>
      </c>
      <c r="U61" s="131" t="str">
        <f>OFFSET(ASISTENCIA!$E$1,MATCH($G61,ASISTENCIA!$E:$E,0)-1,MATCH(U$1,ASISTENCIA!$3:$3,0)-5,1,1)</f>
        <v>#N/A</v>
      </c>
      <c r="V61" s="131" t="str">
        <f>OFFSET(ASISTENCIA!$E$1,MATCH($G61,ASISTENCIA!$E:$E,0)-1,MATCH(V$1,ASISTENCIA!$3:$3,0)-5,1,1)</f>
        <v>#N/A</v>
      </c>
      <c r="W61" s="136" t="str">
        <f>IF(TODAY()&gt;=$W$1-6,SUM(OFFSET(DEVO!$F$1,MATCH($G61,DEVO!$E:$E,0)-1,MATCH(T$1,DEVO!$1:$1,0)-6,1,7)),"")</f>
        <v>#N/A</v>
      </c>
      <c r="X61" s="131" t="str">
        <f>IF(TODAY()&gt;=$AA$1-6,SUM(OFFSET(ASISTENCIA!$E$1,MATCH($G61,ASISTENCIA!$E:$E,0)-1,MATCH(X$1,ASISTENCIA!$3:$3,0)-5,1,1)),"")</f>
        <v>#N/A</v>
      </c>
      <c r="Y61" s="131" t="str">
        <f>OFFSET(ASISTENCIA!$E$1,MATCH($G61,ASISTENCIA!$E:$E,0)-1,MATCH(Y$1,ASISTENCIA!$3:$3,0)-5,1,1)</f>
        <v>#N/A</v>
      </c>
      <c r="Z61" s="131" t="str">
        <f>OFFSET(ASISTENCIA!$E$1,MATCH($G61,ASISTENCIA!$E:$E,0)-1,MATCH(Z$1,ASISTENCIA!$3:$3,0)-5,1,1)</f>
        <v>#N/A</v>
      </c>
      <c r="AA61" s="136" t="str">
        <f>IF(TODAY()&gt;=$AA$1-6,SUM(OFFSET(DEVO!$F$1,MATCH($G61,DEVO!$E:$E,0)-1,MATCH(X$1,DEVO!$1:$1,0)-6,1,7)),"")</f>
        <v>#N/A</v>
      </c>
      <c r="AB61" s="131" t="str">
        <f>IF(TODAY()&gt;=$AE$1-6,SUM(OFFSET(ASISTENCIA!$E$1,MATCH($G61,ASISTENCIA!$E:$E,0)-1,MATCH(AB$1,ASISTENCIA!$3:$3,0)-5,1,1)),"")</f>
        <v>#N/A</v>
      </c>
      <c r="AC61" s="131" t="str">
        <f>OFFSET(ASISTENCIA!$E$1,MATCH($G61,ASISTENCIA!$E:$E,0)-1,MATCH(AC$1,ASISTENCIA!$3:$3,0)-5,1,1)</f>
        <v>#N/A</v>
      </c>
      <c r="AD61" s="131" t="str">
        <f>OFFSET(ASISTENCIA!$E$1,MATCH($G61,ASISTENCIA!$E:$E,0)-1,MATCH(AD$1,ASISTENCIA!$3:$3,0)-5,1,1)</f>
        <v>#N/A</v>
      </c>
      <c r="AE61" s="136" t="str">
        <f>IF(TODAY()&gt;=$AE$1-6,SUM(OFFSET(DEVO!$F$1,MATCH($G61,DEVO!$E:$E,0)-1,MATCH(AB$1,DEVO!$1:$1,0)-6,1,7)),"")</f>
        <v>#N/A</v>
      </c>
      <c r="AF61" s="131" t="str">
        <f>IF(TODAY()&gt;=$AI$1-6,SUM(OFFSET(ASISTENCIA!$E$1,MATCH($G61,ASISTENCIA!$E:$E,0)-1,MATCH(AF$1,ASISTENCIA!$3:$3,0)-5,1,1)),"")</f>
        <v>#N/A</v>
      </c>
      <c r="AG61" s="131" t="str">
        <f>OFFSET(ASISTENCIA!$E$1,MATCH($G61,ASISTENCIA!$E:$E,0)-1,MATCH(AG$1,ASISTENCIA!$3:$3,0)-5,1,1)</f>
        <v>#N/A</v>
      </c>
      <c r="AH61" s="131" t="str">
        <f>OFFSET(ASISTENCIA!$E$1,MATCH($G61,ASISTENCIA!$E:$E,0)-1,MATCH(AH$1,ASISTENCIA!$3:$3,0)-5,1,1)</f>
        <v>#N/A</v>
      </c>
      <c r="AI61" s="136" t="str">
        <f>IF(TODAY()&gt;=$AI$1-6,SUM(OFFSET(DEVO!$F$1,MATCH($G61,DEVO!$E:$E,0)-1,MATCH(AF$1,DEVO!$1:$1,0)-6,1,7)),"")</f>
        <v>#N/A</v>
      </c>
      <c r="AJ61" s="131" t="str">
        <f>IF(TODAY()&gt;=$AM$1-6,SUM(OFFSET(ASISTENCIA!$E$1,MATCH($G61,ASISTENCIA!$E:$E,0)-1,MATCH(AJ$1,ASISTENCIA!$3:$3,0)-5,1,1)),"")</f>
        <v>#N/A</v>
      </c>
      <c r="AK61" s="131" t="str">
        <f>OFFSET(ASISTENCIA!$E$1,MATCH($G61,ASISTENCIA!$E:$E,0)-1,MATCH(AK$1,ASISTENCIA!$3:$3,0)-5,1,1)</f>
        <v>#N/A</v>
      </c>
      <c r="AL61" s="131" t="str">
        <f>OFFSET(ASISTENCIA!$E$1,MATCH($G61,ASISTENCIA!$E:$E,0)-1,MATCH(AL$1,ASISTENCIA!$3:$3,0)-5,1,1)</f>
        <v>#N/A</v>
      </c>
      <c r="AM61" s="136" t="str">
        <f>IF(TODAY()&gt;=$AM$1-6,SUM(OFFSET(DEVO!$F$1,MATCH($G61,DEVO!$E:$E,0)-1,MATCH(AJ$1,DEVO!$1:$1,0)-6,1,7)),"")</f>
        <v>#N/A</v>
      </c>
      <c r="AN61" s="131" t="str">
        <f>IF(TODAY()&gt;=$AQ$1-6,SUM(OFFSET(ASISTENCIA!$E$1,MATCH($G61,ASISTENCIA!$E:$E,0)-1,MATCH(AN$1,ASISTENCIA!$3:$3,0)-5,1,1)),"")</f>
        <v>#N/A</v>
      </c>
      <c r="AO61" s="131" t="str">
        <f>OFFSET(ASISTENCIA!$E$1,MATCH($G61,ASISTENCIA!$E:$E,0)-1,MATCH(AO$1,ASISTENCIA!$3:$3,0)-5,1,1)</f>
        <v>#N/A</v>
      </c>
      <c r="AP61" s="131" t="str">
        <f>OFFSET(ASISTENCIA!$E$1,MATCH($G61,ASISTENCIA!$E:$E,0)-1,MATCH(AP$1,ASISTENCIA!$3:$3,0)-5,1,1)</f>
        <v>#N/A</v>
      </c>
      <c r="AQ61" s="136" t="str">
        <f>IF(TODAY()&gt;=$AQ$1-6,SUM(OFFSET(DEVO!$F$1,MATCH($G61,DEVO!$E:$E,0)-1,MATCH(AN$1,DEVO!$1:$1,0)-6,1,7)),"")</f>
        <v>#N/A</v>
      </c>
      <c r="AR61" s="131" t="str">
        <f>IF(TODAY()&gt;=$AU$1-6,SUM(OFFSET(ASISTENCIA!$E$1,MATCH($G61,ASISTENCIA!$E:$E,0)-1,MATCH(AR$1,ASISTENCIA!$3:$3,0)-5,1,1)),"")</f>
        <v>#N/A</v>
      </c>
      <c r="AS61" s="131" t="str">
        <f>OFFSET(ASISTENCIA!$E$1,MATCH($G61,ASISTENCIA!$E:$E,0)-1,MATCH(AS$1,ASISTENCIA!$3:$3,0)-5,1,1)</f>
        <v>#N/A</v>
      </c>
      <c r="AT61" s="131" t="str">
        <f>OFFSET(ASISTENCIA!$E$1,MATCH($G61,ASISTENCIA!$E:$E,0)-1,MATCH(AT$1,ASISTENCIA!$3:$3,0)-5,1,1)</f>
        <v>#N/A</v>
      </c>
      <c r="AU61" s="136" t="str">
        <f>IF(TODAY()&gt;=$AU$1-6,SUM(OFFSET(DEVO!$F$1,MATCH($G61,DEVO!$E:$E,0)-1,MATCH(AR$1,DEVO!$1:$1,0)-6,1,7)),"")</f>
        <v>#N/A</v>
      </c>
      <c r="AV61" s="131" t="str">
        <f>OFFSET(ASISTENCIA!$E$1,MATCH($G61,ASISTENCIA!$E:$E,0)-1,MATCH(AV$1,ASISTENCIA!$3:$3,0)-5,1,1)</f>
        <v>#N/A</v>
      </c>
      <c r="AW61" s="131" t="str">
        <f>OFFSET(ASISTENCIA!$E$1,MATCH($G61,ASISTENCIA!$E:$E,0)-1,MATCH(AW$1,ASISTENCIA!$3:$3,0)-5,1,1)</f>
        <v>#N/A</v>
      </c>
      <c r="AY61" s="173">
        <f t="shared" si="2"/>
        <v>0</v>
      </c>
      <c r="AZ61" s="174">
        <f t="shared" si="3"/>
        <v>0</v>
      </c>
      <c r="BA61" s="174">
        <f t="shared" si="4"/>
        <v>0</v>
      </c>
      <c r="BB61" s="174">
        <f t="shared" si="5"/>
        <v>0</v>
      </c>
      <c r="BC61" s="174">
        <f t="shared" si="6"/>
        <v>0</v>
      </c>
      <c r="BD61" s="174">
        <f t="shared" si="7"/>
        <v>0</v>
      </c>
      <c r="BE61" s="174">
        <f t="shared" si="8"/>
        <v>0</v>
      </c>
      <c r="BF61" s="174">
        <f t="shared" si="9"/>
        <v>0</v>
      </c>
      <c r="BG61" s="174">
        <f t="shared" si="10"/>
        <v>0</v>
      </c>
      <c r="BH61" s="152">
        <f t="shared" si="11"/>
        <v>0</v>
      </c>
      <c r="BI61" s="153" t="str">
        <f t="shared" si="12"/>
        <v>OBSERVADOS</v>
      </c>
      <c r="BJ61" s="175" t="str">
        <f t="shared" si="13"/>
        <v>#N/A</v>
      </c>
      <c r="BK61" s="176" t="str">
        <f t="shared" si="14"/>
        <v>#N/A</v>
      </c>
      <c r="BL61" s="176" t="str">
        <f t="shared" si="15"/>
        <v>#N/A</v>
      </c>
      <c r="BM61" s="176" t="str">
        <f t="shared" si="16"/>
        <v>#N/A</v>
      </c>
      <c r="BN61" s="176" t="str">
        <f t="shared" si="17"/>
        <v>#N/A</v>
      </c>
      <c r="BO61" s="176" t="str">
        <f t="shared" si="18"/>
        <v>#N/A</v>
      </c>
      <c r="BP61" s="176" t="str">
        <f t="shared" si="19"/>
        <v>#N/A</v>
      </c>
      <c r="BQ61" s="176" t="str">
        <f t="shared" si="20"/>
        <v>#N/A</v>
      </c>
      <c r="BR61" s="176" t="str">
        <f t="shared" si="21"/>
        <v>#N/A</v>
      </c>
      <c r="BS61" s="207" t="str">
        <f>OFFSET(ASISTENCIA!$E$1,MATCH($G61,ASISTENCIA!$E:$E,0)-1,MATCH(BS$1,ASISTENCIA!$3:$3,0)-5,1,1)</f>
        <v>#N/A</v>
      </c>
      <c r="BT61" s="207" t="str">
        <f>OFFSET(ASISTENCIA!$E$1,MATCH($G61,ASISTENCIA!$E:$E,0)-1,MATCH(BT$1,ASISTENCIA!$3:$3,0)-5,1,1)</f>
        <v>#N/A</v>
      </c>
      <c r="BU61" s="215" t="str">
        <f>OFFSET(ASISTENCIA!$E$1,MATCH($G61,ASISTENCIA!$E:$E,0)-1,MATCH(BU$1,ASISTENCIA!$3:$3,0)-5,1,1)</f>
        <v>#N/A</v>
      </c>
      <c r="BV61" s="215" t="str">
        <f>OFFSET(ASISTENCIA!$E$1,MATCH($G61,ASISTENCIA!$E:$E,0)-1,MATCH(BV$1,ASISTENCIA!$3:$3,0)-5,1,1)</f>
        <v>#N/A</v>
      </c>
      <c r="BW61" s="55"/>
      <c r="BX61" s="55"/>
      <c r="BY61" s="55"/>
    </row>
    <row r="62">
      <c r="A62" s="123">
        <f t="shared" si="22"/>
        <v>59</v>
      </c>
      <c r="B62" s="127"/>
      <c r="C62" s="128"/>
      <c r="D62" s="128"/>
      <c r="E62" s="127"/>
      <c r="F62" s="127"/>
      <c r="G62" s="128"/>
      <c r="H62" s="128"/>
      <c r="I62" s="129"/>
      <c r="J62" s="129" t="str">
        <f>DEVO!F63</f>
        <v/>
      </c>
      <c r="K62" s="129" t="str">
        <f t="shared" si="1"/>
        <v/>
      </c>
      <c r="L62" s="131" t="str">
        <f>IF(TODAY()&gt;=$O$1-6,SUM(OFFSET(ASISTENCIA!$E$1,MATCH($G62,ASISTENCIA!$E:$E,0)-1,MATCH(L$1,ASISTENCIA!$3:$3,0)-5,1,1)),"")</f>
        <v>#N/A</v>
      </c>
      <c r="M62" s="131" t="str">
        <f>OFFSET(ASISTENCIA!$E$1,MATCH($G62,ASISTENCIA!$E:$E,0)-1,MATCH(M$1,ASISTENCIA!$3:$3,0)-5,1,1)</f>
        <v>#N/A</v>
      </c>
      <c r="N62" s="131" t="str">
        <f>OFFSET(ASISTENCIA!$E$1,MATCH($G62,ASISTENCIA!$E:$E,0)-1,MATCH(N$1,ASISTENCIA!$3:$3,0)-5,1,1)</f>
        <v>#N/A</v>
      </c>
      <c r="O62" s="136" t="str">
        <f>IF(TODAY()&gt;=$O$1-6,SUM(OFFSET(DEVO!$F$1,MATCH($G62,DEVO!$E:$E,0)-1,MATCH(L$1,DEVO!$1:$1,0)-6,1,7)),"")</f>
        <v>#N/A</v>
      </c>
      <c r="P62" s="131" t="str">
        <f>IF(TODAY()&gt;=$S$1-6,SUM(OFFSET(ASISTENCIA!$E$1,MATCH($G62,ASISTENCIA!$E:$E,0)-1,MATCH(P$1,ASISTENCIA!$3:$3,0)-5,1,1)),"")</f>
        <v>#N/A</v>
      </c>
      <c r="Q62" s="131" t="str">
        <f>OFFSET(ASISTENCIA!$E$1,MATCH($G62,ASISTENCIA!$E:$E,0)-1,MATCH(Q$1,ASISTENCIA!$3:$3,0)-5,1,1)</f>
        <v>#N/A</v>
      </c>
      <c r="R62" s="131" t="str">
        <f>OFFSET(ASISTENCIA!$E$1,MATCH($G62,ASISTENCIA!$E:$E,0)-1,MATCH(R$1,ASISTENCIA!$3:$3,0)-5,1,1)</f>
        <v>#N/A</v>
      </c>
      <c r="S62" s="136" t="str">
        <f>IF(TODAY()&gt;=$S$1-6,SUM(OFFSET(DEVO!$F$1,MATCH($G62,DEVO!$E:$E,0)-1,MATCH(P$1,DEVO!$1:$1,0)-6,1,7)),"")</f>
        <v>#N/A</v>
      </c>
      <c r="T62" s="131" t="str">
        <f>IF(TODAY()&gt;=$W$1-6,SUM(OFFSET(ASISTENCIA!$E$1,MATCH($G62,ASISTENCIA!$E:$E,0)-1,MATCH(T$1,ASISTENCIA!$3:$3,0)-5,1,1)),"")</f>
        <v>#N/A</v>
      </c>
      <c r="U62" s="131" t="str">
        <f>OFFSET(ASISTENCIA!$E$1,MATCH($G62,ASISTENCIA!$E:$E,0)-1,MATCH(U$1,ASISTENCIA!$3:$3,0)-5,1,1)</f>
        <v>#N/A</v>
      </c>
      <c r="V62" s="131" t="str">
        <f>OFFSET(ASISTENCIA!$E$1,MATCH($G62,ASISTENCIA!$E:$E,0)-1,MATCH(V$1,ASISTENCIA!$3:$3,0)-5,1,1)</f>
        <v>#N/A</v>
      </c>
      <c r="W62" s="136" t="str">
        <f>IF(TODAY()&gt;=$W$1-6,SUM(OFFSET(DEVO!$F$1,MATCH($G62,DEVO!$E:$E,0)-1,MATCH(T$1,DEVO!$1:$1,0)-6,1,7)),"")</f>
        <v>#N/A</v>
      </c>
      <c r="X62" s="131" t="str">
        <f>IF(TODAY()&gt;=$AA$1-6,SUM(OFFSET(ASISTENCIA!$E$1,MATCH($G62,ASISTENCIA!$E:$E,0)-1,MATCH(X$1,ASISTENCIA!$3:$3,0)-5,1,1)),"")</f>
        <v>#N/A</v>
      </c>
      <c r="Y62" s="131" t="str">
        <f>OFFSET(ASISTENCIA!$E$1,MATCH($G62,ASISTENCIA!$E:$E,0)-1,MATCH(Y$1,ASISTENCIA!$3:$3,0)-5,1,1)</f>
        <v>#N/A</v>
      </c>
      <c r="Z62" s="131" t="str">
        <f>OFFSET(ASISTENCIA!$E$1,MATCH($G62,ASISTENCIA!$E:$E,0)-1,MATCH(Z$1,ASISTENCIA!$3:$3,0)-5,1,1)</f>
        <v>#N/A</v>
      </c>
      <c r="AA62" s="136" t="str">
        <f>IF(TODAY()&gt;=$AA$1-6,SUM(OFFSET(DEVO!$F$1,MATCH($G62,DEVO!$E:$E,0)-1,MATCH(X$1,DEVO!$1:$1,0)-6,1,7)),"")</f>
        <v>#N/A</v>
      </c>
      <c r="AB62" s="131" t="str">
        <f>IF(TODAY()&gt;=$AE$1-6,SUM(OFFSET(ASISTENCIA!$E$1,MATCH($G62,ASISTENCIA!$E:$E,0)-1,MATCH(AB$1,ASISTENCIA!$3:$3,0)-5,1,1)),"")</f>
        <v>#N/A</v>
      </c>
      <c r="AC62" s="131" t="str">
        <f>OFFSET(ASISTENCIA!$E$1,MATCH($G62,ASISTENCIA!$E:$E,0)-1,MATCH(AC$1,ASISTENCIA!$3:$3,0)-5,1,1)</f>
        <v>#N/A</v>
      </c>
      <c r="AD62" s="131" t="str">
        <f>OFFSET(ASISTENCIA!$E$1,MATCH($G62,ASISTENCIA!$E:$E,0)-1,MATCH(AD$1,ASISTENCIA!$3:$3,0)-5,1,1)</f>
        <v>#N/A</v>
      </c>
      <c r="AE62" s="136" t="str">
        <f>IF(TODAY()&gt;=$AE$1-6,SUM(OFFSET(DEVO!$F$1,MATCH($G62,DEVO!$E:$E,0)-1,MATCH(AB$1,DEVO!$1:$1,0)-6,1,7)),"")</f>
        <v>#N/A</v>
      </c>
      <c r="AF62" s="131" t="str">
        <f>IF(TODAY()&gt;=$AI$1-6,SUM(OFFSET(ASISTENCIA!$E$1,MATCH($G62,ASISTENCIA!$E:$E,0)-1,MATCH(AF$1,ASISTENCIA!$3:$3,0)-5,1,1)),"")</f>
        <v>#N/A</v>
      </c>
      <c r="AG62" s="131" t="str">
        <f>OFFSET(ASISTENCIA!$E$1,MATCH($G62,ASISTENCIA!$E:$E,0)-1,MATCH(AG$1,ASISTENCIA!$3:$3,0)-5,1,1)</f>
        <v>#N/A</v>
      </c>
      <c r="AH62" s="131" t="str">
        <f>OFFSET(ASISTENCIA!$E$1,MATCH($G62,ASISTENCIA!$E:$E,0)-1,MATCH(AH$1,ASISTENCIA!$3:$3,0)-5,1,1)</f>
        <v>#N/A</v>
      </c>
      <c r="AI62" s="136" t="str">
        <f>IF(TODAY()&gt;=$AI$1-6,SUM(OFFSET(DEVO!$F$1,MATCH($G62,DEVO!$E:$E,0)-1,MATCH(AF$1,DEVO!$1:$1,0)-6,1,7)),"")</f>
        <v>#N/A</v>
      </c>
      <c r="AJ62" s="131" t="str">
        <f>IF(TODAY()&gt;=$AM$1-6,SUM(OFFSET(ASISTENCIA!$E$1,MATCH($G62,ASISTENCIA!$E:$E,0)-1,MATCH(AJ$1,ASISTENCIA!$3:$3,0)-5,1,1)),"")</f>
        <v>#N/A</v>
      </c>
      <c r="AK62" s="131" t="str">
        <f>OFFSET(ASISTENCIA!$E$1,MATCH($G62,ASISTENCIA!$E:$E,0)-1,MATCH(AK$1,ASISTENCIA!$3:$3,0)-5,1,1)</f>
        <v>#N/A</v>
      </c>
      <c r="AL62" s="131" t="str">
        <f>OFFSET(ASISTENCIA!$E$1,MATCH($G62,ASISTENCIA!$E:$E,0)-1,MATCH(AL$1,ASISTENCIA!$3:$3,0)-5,1,1)</f>
        <v>#N/A</v>
      </c>
      <c r="AM62" s="136" t="str">
        <f>IF(TODAY()&gt;=$AM$1-6,SUM(OFFSET(DEVO!$F$1,MATCH($G62,DEVO!$E:$E,0)-1,MATCH(AJ$1,DEVO!$1:$1,0)-6,1,7)),"")</f>
        <v>#N/A</v>
      </c>
      <c r="AN62" s="131" t="str">
        <f>IF(TODAY()&gt;=$AQ$1-6,SUM(OFFSET(ASISTENCIA!$E$1,MATCH($G62,ASISTENCIA!$E:$E,0)-1,MATCH(AN$1,ASISTENCIA!$3:$3,0)-5,1,1)),"")</f>
        <v>#N/A</v>
      </c>
      <c r="AO62" s="131" t="str">
        <f>OFFSET(ASISTENCIA!$E$1,MATCH($G62,ASISTENCIA!$E:$E,0)-1,MATCH(AO$1,ASISTENCIA!$3:$3,0)-5,1,1)</f>
        <v>#N/A</v>
      </c>
      <c r="AP62" s="131" t="str">
        <f>OFFSET(ASISTENCIA!$E$1,MATCH($G62,ASISTENCIA!$E:$E,0)-1,MATCH(AP$1,ASISTENCIA!$3:$3,0)-5,1,1)</f>
        <v>#N/A</v>
      </c>
      <c r="AQ62" s="136" t="str">
        <f>IF(TODAY()&gt;=$AQ$1-6,SUM(OFFSET(DEVO!$F$1,MATCH($G62,DEVO!$E:$E,0)-1,MATCH(AN$1,DEVO!$1:$1,0)-6,1,7)),"")</f>
        <v>#N/A</v>
      </c>
      <c r="AR62" s="131" t="str">
        <f>IF(TODAY()&gt;=$AU$1-6,SUM(OFFSET(ASISTENCIA!$E$1,MATCH($G62,ASISTENCIA!$E:$E,0)-1,MATCH(AR$1,ASISTENCIA!$3:$3,0)-5,1,1)),"")</f>
        <v>#N/A</v>
      </c>
      <c r="AS62" s="131" t="str">
        <f>OFFSET(ASISTENCIA!$E$1,MATCH($G62,ASISTENCIA!$E:$E,0)-1,MATCH(AS$1,ASISTENCIA!$3:$3,0)-5,1,1)</f>
        <v>#N/A</v>
      </c>
      <c r="AT62" s="131" t="str">
        <f>OFFSET(ASISTENCIA!$E$1,MATCH($G62,ASISTENCIA!$E:$E,0)-1,MATCH(AT$1,ASISTENCIA!$3:$3,0)-5,1,1)</f>
        <v>#N/A</v>
      </c>
      <c r="AU62" s="136" t="str">
        <f>IF(TODAY()&gt;=$AU$1-6,SUM(OFFSET(DEVO!$F$1,MATCH($G62,DEVO!$E:$E,0)-1,MATCH(AR$1,DEVO!$1:$1,0)-6,1,7)),"")</f>
        <v>#N/A</v>
      </c>
      <c r="AV62" s="131" t="str">
        <f>OFFSET(ASISTENCIA!$E$1,MATCH($G62,ASISTENCIA!$E:$E,0)-1,MATCH(AV$1,ASISTENCIA!$3:$3,0)-5,1,1)</f>
        <v>#N/A</v>
      </c>
      <c r="AW62" s="131" t="str">
        <f>OFFSET(ASISTENCIA!$E$1,MATCH($G62,ASISTENCIA!$E:$E,0)-1,MATCH(AW$1,ASISTENCIA!$3:$3,0)-5,1,1)</f>
        <v>#N/A</v>
      </c>
      <c r="AY62" s="173">
        <f t="shared" si="2"/>
        <v>0</v>
      </c>
      <c r="AZ62" s="174">
        <f t="shared" si="3"/>
        <v>0</v>
      </c>
      <c r="BA62" s="174">
        <f t="shared" si="4"/>
        <v>0</v>
      </c>
      <c r="BB62" s="174">
        <f t="shared" si="5"/>
        <v>0</v>
      </c>
      <c r="BC62" s="174">
        <f t="shared" si="6"/>
        <v>0</v>
      </c>
      <c r="BD62" s="174">
        <f t="shared" si="7"/>
        <v>0</v>
      </c>
      <c r="BE62" s="174">
        <f t="shared" si="8"/>
        <v>0</v>
      </c>
      <c r="BF62" s="174">
        <f t="shared" si="9"/>
        <v>0</v>
      </c>
      <c r="BG62" s="174">
        <f t="shared" si="10"/>
        <v>0</v>
      </c>
      <c r="BH62" s="152">
        <f t="shared" si="11"/>
        <v>0</v>
      </c>
      <c r="BI62" s="153" t="str">
        <f t="shared" si="12"/>
        <v>OBSERVADOS</v>
      </c>
      <c r="BJ62" s="175" t="str">
        <f t="shared" si="13"/>
        <v>#N/A</v>
      </c>
      <c r="BK62" s="176" t="str">
        <f t="shared" si="14"/>
        <v>#N/A</v>
      </c>
      <c r="BL62" s="176" t="str">
        <f t="shared" si="15"/>
        <v>#N/A</v>
      </c>
      <c r="BM62" s="176" t="str">
        <f t="shared" si="16"/>
        <v>#N/A</v>
      </c>
      <c r="BN62" s="176" t="str">
        <f t="shared" si="17"/>
        <v>#N/A</v>
      </c>
      <c r="BO62" s="176" t="str">
        <f t="shared" si="18"/>
        <v>#N/A</v>
      </c>
      <c r="BP62" s="176" t="str">
        <f t="shared" si="19"/>
        <v>#N/A</v>
      </c>
      <c r="BQ62" s="176" t="str">
        <f t="shared" si="20"/>
        <v>#N/A</v>
      </c>
      <c r="BR62" s="176" t="str">
        <f t="shared" si="21"/>
        <v>#N/A</v>
      </c>
      <c r="BS62" s="207" t="str">
        <f>OFFSET(ASISTENCIA!$E$1,MATCH($G62,ASISTENCIA!$E:$E,0)-1,MATCH(BS$1,ASISTENCIA!$3:$3,0)-5,1,1)</f>
        <v>#N/A</v>
      </c>
      <c r="BT62" s="207" t="str">
        <f>OFFSET(ASISTENCIA!$E$1,MATCH($G62,ASISTENCIA!$E:$E,0)-1,MATCH(BT$1,ASISTENCIA!$3:$3,0)-5,1,1)</f>
        <v>#N/A</v>
      </c>
      <c r="BU62" s="215" t="str">
        <f>OFFSET(ASISTENCIA!$E$1,MATCH($G62,ASISTENCIA!$E:$E,0)-1,MATCH(BU$1,ASISTENCIA!$3:$3,0)-5,1,1)</f>
        <v>#N/A</v>
      </c>
      <c r="BV62" s="215" t="str">
        <f>OFFSET(ASISTENCIA!$E$1,MATCH($G62,ASISTENCIA!$E:$E,0)-1,MATCH(BV$1,ASISTENCIA!$3:$3,0)-5,1,1)</f>
        <v>#N/A</v>
      </c>
      <c r="BW62" s="55"/>
      <c r="BX62" s="55"/>
      <c r="BY62" s="55"/>
    </row>
    <row r="63">
      <c r="A63" s="123">
        <f t="shared" si="22"/>
        <v>60</v>
      </c>
      <c r="B63" s="127"/>
      <c r="C63" s="128"/>
      <c r="D63" s="128"/>
      <c r="E63" s="127"/>
      <c r="F63" s="127"/>
      <c r="G63" s="128"/>
      <c r="H63" s="128"/>
      <c r="I63" s="129"/>
      <c r="J63" s="129" t="str">
        <f>DEVO!F64</f>
        <v/>
      </c>
      <c r="K63" s="129" t="str">
        <f t="shared" si="1"/>
        <v/>
      </c>
      <c r="L63" s="131" t="str">
        <f>IF(TODAY()&gt;=$O$1-6,SUM(OFFSET(ASISTENCIA!$E$1,MATCH($G63,ASISTENCIA!$E:$E,0)-1,MATCH(L$1,ASISTENCIA!$3:$3,0)-5,1,1)),"")</f>
        <v>#N/A</v>
      </c>
      <c r="M63" s="131" t="str">
        <f>OFFSET(ASISTENCIA!$E$1,MATCH($G63,ASISTENCIA!$E:$E,0)-1,MATCH(M$1,ASISTENCIA!$3:$3,0)-5,1,1)</f>
        <v>#N/A</v>
      </c>
      <c r="N63" s="131" t="str">
        <f>OFFSET(ASISTENCIA!$E$1,MATCH($G63,ASISTENCIA!$E:$E,0)-1,MATCH(N$1,ASISTENCIA!$3:$3,0)-5,1,1)</f>
        <v>#N/A</v>
      </c>
      <c r="O63" s="136" t="str">
        <f>IF(TODAY()&gt;=$O$1-6,SUM(OFFSET(DEVO!$F$1,MATCH($G63,DEVO!$E:$E,0)-1,MATCH(L$1,DEVO!$1:$1,0)-6,1,7)),"")</f>
        <v>#N/A</v>
      </c>
      <c r="P63" s="131" t="str">
        <f>IF(TODAY()&gt;=$S$1-6,SUM(OFFSET(ASISTENCIA!$E$1,MATCH($G63,ASISTENCIA!$E:$E,0)-1,MATCH(P$1,ASISTENCIA!$3:$3,0)-5,1,1)),"")</f>
        <v>#N/A</v>
      </c>
      <c r="Q63" s="131" t="str">
        <f>OFFSET(ASISTENCIA!$E$1,MATCH($G63,ASISTENCIA!$E:$E,0)-1,MATCH(Q$1,ASISTENCIA!$3:$3,0)-5,1,1)</f>
        <v>#N/A</v>
      </c>
      <c r="R63" s="131" t="str">
        <f>OFFSET(ASISTENCIA!$E$1,MATCH($G63,ASISTENCIA!$E:$E,0)-1,MATCH(R$1,ASISTENCIA!$3:$3,0)-5,1,1)</f>
        <v>#N/A</v>
      </c>
      <c r="S63" s="136" t="str">
        <f>IF(TODAY()&gt;=$S$1-6,SUM(OFFSET(DEVO!$F$1,MATCH($G63,DEVO!$E:$E,0)-1,MATCH(P$1,DEVO!$1:$1,0)-6,1,7)),"")</f>
        <v>#N/A</v>
      </c>
      <c r="T63" s="131" t="str">
        <f>IF(TODAY()&gt;=$W$1-6,SUM(OFFSET(ASISTENCIA!$E$1,MATCH($G63,ASISTENCIA!$E:$E,0)-1,MATCH(T$1,ASISTENCIA!$3:$3,0)-5,1,1)),"")</f>
        <v>#N/A</v>
      </c>
      <c r="U63" s="131" t="str">
        <f>OFFSET(ASISTENCIA!$E$1,MATCH($G63,ASISTENCIA!$E:$E,0)-1,MATCH(U$1,ASISTENCIA!$3:$3,0)-5,1,1)</f>
        <v>#N/A</v>
      </c>
      <c r="V63" s="131" t="str">
        <f>OFFSET(ASISTENCIA!$E$1,MATCH($G63,ASISTENCIA!$E:$E,0)-1,MATCH(V$1,ASISTENCIA!$3:$3,0)-5,1,1)</f>
        <v>#N/A</v>
      </c>
      <c r="W63" s="136" t="str">
        <f>IF(TODAY()&gt;=$W$1-6,SUM(OFFSET(DEVO!$F$1,MATCH($G63,DEVO!$E:$E,0)-1,MATCH(T$1,DEVO!$1:$1,0)-6,1,7)),"")</f>
        <v>#N/A</v>
      </c>
      <c r="X63" s="131" t="str">
        <f>IF(TODAY()&gt;=$AA$1-6,SUM(OFFSET(ASISTENCIA!$E$1,MATCH($G63,ASISTENCIA!$E:$E,0)-1,MATCH(X$1,ASISTENCIA!$3:$3,0)-5,1,1)),"")</f>
        <v>#N/A</v>
      </c>
      <c r="Y63" s="131" t="str">
        <f>OFFSET(ASISTENCIA!$E$1,MATCH($G63,ASISTENCIA!$E:$E,0)-1,MATCH(Y$1,ASISTENCIA!$3:$3,0)-5,1,1)</f>
        <v>#N/A</v>
      </c>
      <c r="Z63" s="131" t="str">
        <f>OFFSET(ASISTENCIA!$E$1,MATCH($G63,ASISTENCIA!$E:$E,0)-1,MATCH(Z$1,ASISTENCIA!$3:$3,0)-5,1,1)</f>
        <v>#N/A</v>
      </c>
      <c r="AA63" s="136" t="str">
        <f>IF(TODAY()&gt;=$AA$1-6,SUM(OFFSET(DEVO!$F$1,MATCH($G63,DEVO!$E:$E,0)-1,MATCH(X$1,DEVO!$1:$1,0)-6,1,7)),"")</f>
        <v>#N/A</v>
      </c>
      <c r="AB63" s="131" t="str">
        <f>IF(TODAY()&gt;=$AE$1-6,SUM(OFFSET(ASISTENCIA!$E$1,MATCH($G63,ASISTENCIA!$E:$E,0)-1,MATCH(AB$1,ASISTENCIA!$3:$3,0)-5,1,1)),"")</f>
        <v>#N/A</v>
      </c>
      <c r="AC63" s="131" t="str">
        <f>OFFSET(ASISTENCIA!$E$1,MATCH($G63,ASISTENCIA!$E:$E,0)-1,MATCH(AC$1,ASISTENCIA!$3:$3,0)-5,1,1)</f>
        <v>#N/A</v>
      </c>
      <c r="AD63" s="131" t="str">
        <f>OFFSET(ASISTENCIA!$E$1,MATCH($G63,ASISTENCIA!$E:$E,0)-1,MATCH(AD$1,ASISTENCIA!$3:$3,0)-5,1,1)</f>
        <v>#N/A</v>
      </c>
      <c r="AE63" s="136" t="str">
        <f>IF(TODAY()&gt;=$AE$1-6,SUM(OFFSET(DEVO!$F$1,MATCH($G63,DEVO!$E:$E,0)-1,MATCH(AB$1,DEVO!$1:$1,0)-6,1,7)),"")</f>
        <v>#N/A</v>
      </c>
      <c r="AF63" s="131" t="str">
        <f>IF(TODAY()&gt;=$AI$1-6,SUM(OFFSET(ASISTENCIA!$E$1,MATCH($G63,ASISTENCIA!$E:$E,0)-1,MATCH(AF$1,ASISTENCIA!$3:$3,0)-5,1,1)),"")</f>
        <v>#N/A</v>
      </c>
      <c r="AG63" s="131" t="str">
        <f>OFFSET(ASISTENCIA!$E$1,MATCH($G63,ASISTENCIA!$E:$E,0)-1,MATCH(AG$1,ASISTENCIA!$3:$3,0)-5,1,1)</f>
        <v>#N/A</v>
      </c>
      <c r="AH63" s="131" t="str">
        <f>OFFSET(ASISTENCIA!$E$1,MATCH($G63,ASISTENCIA!$E:$E,0)-1,MATCH(AH$1,ASISTENCIA!$3:$3,0)-5,1,1)</f>
        <v>#N/A</v>
      </c>
      <c r="AI63" s="136" t="str">
        <f>IF(TODAY()&gt;=$AI$1-6,SUM(OFFSET(DEVO!$F$1,MATCH($G63,DEVO!$E:$E,0)-1,MATCH(AF$1,DEVO!$1:$1,0)-6,1,7)),"")</f>
        <v>#N/A</v>
      </c>
      <c r="AJ63" s="131" t="str">
        <f>IF(TODAY()&gt;=$AM$1-6,SUM(OFFSET(ASISTENCIA!$E$1,MATCH($G63,ASISTENCIA!$E:$E,0)-1,MATCH(AJ$1,ASISTENCIA!$3:$3,0)-5,1,1)),"")</f>
        <v>#N/A</v>
      </c>
      <c r="AK63" s="131" t="str">
        <f>OFFSET(ASISTENCIA!$E$1,MATCH($G63,ASISTENCIA!$E:$E,0)-1,MATCH(AK$1,ASISTENCIA!$3:$3,0)-5,1,1)</f>
        <v>#N/A</v>
      </c>
      <c r="AL63" s="131" t="str">
        <f>OFFSET(ASISTENCIA!$E$1,MATCH($G63,ASISTENCIA!$E:$E,0)-1,MATCH(AL$1,ASISTENCIA!$3:$3,0)-5,1,1)</f>
        <v>#N/A</v>
      </c>
      <c r="AM63" s="136" t="str">
        <f>IF(TODAY()&gt;=$AM$1-6,SUM(OFFSET(DEVO!$F$1,MATCH($G63,DEVO!$E:$E,0)-1,MATCH(AJ$1,DEVO!$1:$1,0)-6,1,7)),"")</f>
        <v>#N/A</v>
      </c>
      <c r="AN63" s="131" t="str">
        <f>IF(TODAY()&gt;=$AQ$1-6,SUM(OFFSET(ASISTENCIA!$E$1,MATCH($G63,ASISTENCIA!$E:$E,0)-1,MATCH(AN$1,ASISTENCIA!$3:$3,0)-5,1,1)),"")</f>
        <v>#N/A</v>
      </c>
      <c r="AO63" s="131" t="str">
        <f>OFFSET(ASISTENCIA!$E$1,MATCH($G63,ASISTENCIA!$E:$E,0)-1,MATCH(AO$1,ASISTENCIA!$3:$3,0)-5,1,1)</f>
        <v>#N/A</v>
      </c>
      <c r="AP63" s="131" t="str">
        <f>OFFSET(ASISTENCIA!$E$1,MATCH($G63,ASISTENCIA!$E:$E,0)-1,MATCH(AP$1,ASISTENCIA!$3:$3,0)-5,1,1)</f>
        <v>#N/A</v>
      </c>
      <c r="AQ63" s="136" t="str">
        <f>IF(TODAY()&gt;=$AQ$1-6,SUM(OFFSET(DEVO!$F$1,MATCH($G63,DEVO!$E:$E,0)-1,MATCH(AN$1,DEVO!$1:$1,0)-6,1,7)),"")</f>
        <v>#N/A</v>
      </c>
      <c r="AR63" s="131" t="str">
        <f>IF(TODAY()&gt;=$AU$1-6,SUM(OFFSET(ASISTENCIA!$E$1,MATCH($G63,ASISTENCIA!$E:$E,0)-1,MATCH(AR$1,ASISTENCIA!$3:$3,0)-5,1,1)),"")</f>
        <v>#N/A</v>
      </c>
      <c r="AS63" s="131" t="str">
        <f>OFFSET(ASISTENCIA!$E$1,MATCH($G63,ASISTENCIA!$E:$E,0)-1,MATCH(AS$1,ASISTENCIA!$3:$3,0)-5,1,1)</f>
        <v>#N/A</v>
      </c>
      <c r="AT63" s="131" t="str">
        <f>OFFSET(ASISTENCIA!$E$1,MATCH($G63,ASISTENCIA!$E:$E,0)-1,MATCH(AT$1,ASISTENCIA!$3:$3,0)-5,1,1)</f>
        <v>#N/A</v>
      </c>
      <c r="AU63" s="136" t="str">
        <f>IF(TODAY()&gt;=$AU$1-6,SUM(OFFSET(DEVO!$F$1,MATCH($G63,DEVO!$E:$E,0)-1,MATCH(AR$1,DEVO!$1:$1,0)-6,1,7)),"")</f>
        <v>#N/A</v>
      </c>
      <c r="AV63" s="131" t="str">
        <f>OFFSET(ASISTENCIA!$E$1,MATCH($G63,ASISTENCIA!$E:$E,0)-1,MATCH(AV$1,ASISTENCIA!$3:$3,0)-5,1,1)</f>
        <v>#N/A</v>
      </c>
      <c r="AW63" s="131" t="str">
        <f>OFFSET(ASISTENCIA!$E$1,MATCH($G63,ASISTENCIA!$E:$E,0)-1,MATCH(AW$1,ASISTENCIA!$3:$3,0)-5,1,1)</f>
        <v>#N/A</v>
      </c>
      <c r="AY63" s="173">
        <f t="shared" si="2"/>
        <v>0</v>
      </c>
      <c r="AZ63" s="174">
        <f t="shared" si="3"/>
        <v>0</v>
      </c>
      <c r="BA63" s="174">
        <f t="shared" si="4"/>
        <v>0</v>
      </c>
      <c r="BB63" s="174">
        <f t="shared" si="5"/>
        <v>0</v>
      </c>
      <c r="BC63" s="174">
        <f t="shared" si="6"/>
        <v>0</v>
      </c>
      <c r="BD63" s="174">
        <f t="shared" si="7"/>
        <v>0</v>
      </c>
      <c r="BE63" s="174">
        <f t="shared" si="8"/>
        <v>0</v>
      </c>
      <c r="BF63" s="174">
        <f t="shared" si="9"/>
        <v>0</v>
      </c>
      <c r="BG63" s="174">
        <f t="shared" si="10"/>
        <v>0</v>
      </c>
      <c r="BH63" s="152">
        <f t="shared" si="11"/>
        <v>0</v>
      </c>
      <c r="BI63" s="153" t="str">
        <f t="shared" si="12"/>
        <v>OBSERVADOS</v>
      </c>
      <c r="BJ63" s="175" t="str">
        <f t="shared" si="13"/>
        <v>#N/A</v>
      </c>
      <c r="BK63" s="176" t="str">
        <f t="shared" si="14"/>
        <v>#N/A</v>
      </c>
      <c r="BL63" s="176" t="str">
        <f t="shared" si="15"/>
        <v>#N/A</v>
      </c>
      <c r="BM63" s="176" t="str">
        <f t="shared" si="16"/>
        <v>#N/A</v>
      </c>
      <c r="BN63" s="176" t="str">
        <f t="shared" si="17"/>
        <v>#N/A</v>
      </c>
      <c r="BO63" s="176" t="str">
        <f t="shared" si="18"/>
        <v>#N/A</v>
      </c>
      <c r="BP63" s="176" t="str">
        <f t="shared" si="19"/>
        <v>#N/A</v>
      </c>
      <c r="BQ63" s="176" t="str">
        <f t="shared" si="20"/>
        <v>#N/A</v>
      </c>
      <c r="BR63" s="176" t="str">
        <f t="shared" si="21"/>
        <v>#N/A</v>
      </c>
      <c r="BS63" s="207" t="str">
        <f>OFFSET(ASISTENCIA!$E$1,MATCH($G63,ASISTENCIA!$E:$E,0)-1,MATCH(BS$1,ASISTENCIA!$3:$3,0)-5,1,1)</f>
        <v>#N/A</v>
      </c>
      <c r="BT63" s="207" t="str">
        <f>OFFSET(ASISTENCIA!$E$1,MATCH($G63,ASISTENCIA!$E:$E,0)-1,MATCH(BT$1,ASISTENCIA!$3:$3,0)-5,1,1)</f>
        <v>#N/A</v>
      </c>
      <c r="BU63" s="215" t="str">
        <f>OFFSET(ASISTENCIA!$E$1,MATCH($G63,ASISTENCIA!$E:$E,0)-1,MATCH(BU$1,ASISTENCIA!$3:$3,0)-5,1,1)</f>
        <v>#N/A</v>
      </c>
      <c r="BV63" s="215" t="str">
        <f>OFFSET(ASISTENCIA!$E$1,MATCH($G63,ASISTENCIA!$E:$E,0)-1,MATCH(BV$1,ASISTENCIA!$3:$3,0)-5,1,1)</f>
        <v>#N/A</v>
      </c>
      <c r="BW63" s="55"/>
      <c r="BX63" s="55"/>
      <c r="BY63" s="55"/>
    </row>
    <row r="64">
      <c r="I64" s="216"/>
      <c r="J64" s="216"/>
      <c r="K64" s="216"/>
      <c r="AX64" s="55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55"/>
      <c r="BT64" s="55"/>
      <c r="BU64" s="55"/>
      <c r="BV64" s="55"/>
      <c r="BW64" s="55"/>
      <c r="BX64" s="55"/>
      <c r="BY64" s="55"/>
    </row>
    <row r="65">
      <c r="I65" s="216"/>
      <c r="J65" s="216"/>
      <c r="K65" s="216"/>
      <c r="AX65" s="55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55"/>
      <c r="BT65" s="55"/>
      <c r="BU65" s="55"/>
      <c r="BV65" s="55"/>
      <c r="BW65" s="55"/>
      <c r="BX65" s="55"/>
      <c r="BY65" s="55"/>
    </row>
    <row r="66">
      <c r="I66" s="216"/>
      <c r="J66" s="216"/>
      <c r="K66" s="216"/>
      <c r="AX66" s="55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55"/>
      <c r="BT66" s="55"/>
      <c r="BU66" s="55"/>
      <c r="BV66" s="55"/>
      <c r="BW66" s="55"/>
      <c r="BX66" s="55"/>
      <c r="BY66" s="55"/>
    </row>
    <row r="67">
      <c r="I67" s="216"/>
      <c r="J67" s="216"/>
      <c r="K67" s="216"/>
      <c r="AX67" s="55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55"/>
      <c r="BT67" s="55"/>
      <c r="BU67" s="55"/>
      <c r="BV67" s="55"/>
      <c r="BW67" s="55"/>
      <c r="BX67" s="55"/>
      <c r="BY67" s="55"/>
    </row>
    <row r="68">
      <c r="I68" s="216"/>
      <c r="J68" s="216"/>
      <c r="K68" s="216"/>
      <c r="AX68" s="55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55"/>
      <c r="BT68" s="55"/>
      <c r="BU68" s="55"/>
      <c r="BV68" s="55"/>
      <c r="BW68" s="55"/>
      <c r="BX68" s="55"/>
      <c r="BY68" s="55"/>
    </row>
    <row r="69">
      <c r="I69" s="216"/>
      <c r="J69" s="216"/>
      <c r="K69" s="216"/>
      <c r="AX69" s="55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55"/>
      <c r="BT69" s="55"/>
      <c r="BU69" s="55"/>
      <c r="BV69" s="55"/>
      <c r="BW69" s="55"/>
      <c r="BX69" s="55"/>
      <c r="BY69" s="55"/>
    </row>
    <row r="70">
      <c r="I70" s="216"/>
      <c r="J70" s="216"/>
      <c r="K70" s="216"/>
      <c r="AX70" s="55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55"/>
      <c r="BT70" s="55"/>
      <c r="BU70" s="55"/>
      <c r="BV70" s="55"/>
      <c r="BW70" s="55"/>
      <c r="BX70" s="55"/>
      <c r="BY70" s="55"/>
    </row>
    <row r="71">
      <c r="I71" s="216"/>
      <c r="J71" s="216"/>
      <c r="K71" s="216"/>
      <c r="AX71" s="55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55"/>
      <c r="BT71" s="55"/>
      <c r="BU71" s="55"/>
      <c r="BV71" s="55"/>
      <c r="BW71" s="55"/>
      <c r="BX71" s="55"/>
      <c r="BY71" s="55"/>
    </row>
    <row r="72">
      <c r="I72" s="216"/>
      <c r="J72" s="216"/>
      <c r="K72" s="216"/>
      <c r="AX72" s="55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55"/>
      <c r="BT72" s="55"/>
      <c r="BU72" s="55"/>
      <c r="BV72" s="55"/>
      <c r="BW72" s="55"/>
      <c r="BX72" s="55"/>
      <c r="BY72" s="55"/>
    </row>
    <row r="73">
      <c r="I73" s="216"/>
      <c r="J73" s="216"/>
      <c r="K73" s="216"/>
      <c r="AX73" s="55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55"/>
      <c r="BT73" s="55"/>
      <c r="BU73" s="55"/>
      <c r="BV73" s="55"/>
      <c r="BW73" s="55"/>
      <c r="BX73" s="55"/>
      <c r="BY73" s="55"/>
    </row>
    <row r="74">
      <c r="I74" s="216"/>
      <c r="J74" s="216"/>
      <c r="K74" s="216"/>
      <c r="AX74" s="55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55"/>
      <c r="BT74" s="55"/>
      <c r="BU74" s="55"/>
      <c r="BV74" s="55"/>
      <c r="BW74" s="55"/>
      <c r="BX74" s="55"/>
      <c r="BY74" s="55"/>
    </row>
    <row r="75">
      <c r="I75" s="216"/>
      <c r="J75" s="216"/>
      <c r="K75" s="216"/>
      <c r="AX75" s="55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55"/>
      <c r="BT75" s="55"/>
      <c r="BU75" s="55"/>
      <c r="BV75" s="55"/>
      <c r="BW75" s="55"/>
      <c r="BX75" s="55"/>
      <c r="BY75" s="55"/>
    </row>
    <row r="76">
      <c r="I76" s="216"/>
      <c r="J76" s="216"/>
      <c r="K76" s="216"/>
      <c r="AX76" s="55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55"/>
      <c r="BT76" s="55"/>
      <c r="BU76" s="55"/>
      <c r="BV76" s="55"/>
      <c r="BW76" s="55"/>
      <c r="BX76" s="55"/>
      <c r="BY76" s="55"/>
    </row>
    <row r="77">
      <c r="I77" s="216"/>
      <c r="J77" s="216"/>
      <c r="K77" s="216"/>
      <c r="AX77" s="55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55"/>
      <c r="BT77" s="55"/>
      <c r="BU77" s="55"/>
      <c r="BV77" s="55"/>
      <c r="BW77" s="55"/>
      <c r="BX77" s="55"/>
      <c r="BY77" s="55"/>
    </row>
    <row r="78">
      <c r="I78" s="216"/>
      <c r="J78" s="216"/>
      <c r="K78" s="216"/>
      <c r="AX78" s="55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55"/>
      <c r="BT78" s="55"/>
      <c r="BU78" s="55"/>
      <c r="BV78" s="55"/>
      <c r="BW78" s="55"/>
      <c r="BX78" s="55"/>
      <c r="BY78" s="55"/>
    </row>
    <row r="79">
      <c r="I79" s="216"/>
      <c r="J79" s="216"/>
      <c r="K79" s="216"/>
      <c r="AX79" s="55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55"/>
      <c r="BT79" s="55"/>
      <c r="BU79" s="55"/>
      <c r="BV79" s="55"/>
      <c r="BW79" s="55"/>
      <c r="BX79" s="55"/>
      <c r="BY79" s="55"/>
    </row>
    <row r="80">
      <c r="I80" s="216"/>
      <c r="J80" s="216"/>
      <c r="K80" s="216"/>
      <c r="AX80" s="55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55"/>
      <c r="BT80" s="55"/>
      <c r="BU80" s="55"/>
      <c r="BV80" s="55"/>
      <c r="BW80" s="55"/>
      <c r="BX80" s="55"/>
      <c r="BY80" s="55"/>
    </row>
    <row r="81">
      <c r="I81" s="216"/>
      <c r="J81" s="216"/>
      <c r="K81" s="216"/>
      <c r="AX81" s="55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55"/>
      <c r="BT81" s="55"/>
      <c r="BU81" s="55"/>
      <c r="BV81" s="55"/>
      <c r="BW81" s="55"/>
      <c r="BX81" s="55"/>
      <c r="BY81" s="55"/>
    </row>
    <row r="82">
      <c r="I82" s="216"/>
      <c r="J82" s="216"/>
      <c r="K82" s="216"/>
      <c r="AX82" s="55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55"/>
      <c r="BT82" s="55"/>
      <c r="BU82" s="55"/>
      <c r="BV82" s="55"/>
      <c r="BW82" s="55"/>
      <c r="BX82" s="55"/>
      <c r="BY82" s="55"/>
    </row>
    <row r="83">
      <c r="I83" s="216"/>
      <c r="J83" s="216"/>
      <c r="K83" s="216"/>
      <c r="AX83" s="55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55"/>
      <c r="BT83" s="55"/>
      <c r="BU83" s="55"/>
      <c r="BV83" s="55"/>
      <c r="BW83" s="55"/>
      <c r="BX83" s="55"/>
      <c r="BY83" s="55"/>
    </row>
    <row r="84">
      <c r="I84" s="216"/>
      <c r="J84" s="216"/>
      <c r="K84" s="216"/>
      <c r="AX84" s="55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55"/>
      <c r="BT84" s="55"/>
      <c r="BU84" s="55"/>
      <c r="BV84" s="55"/>
      <c r="BW84" s="55"/>
      <c r="BX84" s="55"/>
      <c r="BY84" s="55"/>
    </row>
    <row r="85">
      <c r="I85" s="216"/>
      <c r="J85" s="216"/>
      <c r="K85" s="216"/>
      <c r="AX85" s="55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55"/>
      <c r="BT85" s="55"/>
      <c r="BU85" s="55"/>
      <c r="BV85" s="55"/>
      <c r="BW85" s="55"/>
      <c r="BX85" s="55"/>
      <c r="BY85" s="55"/>
    </row>
    <row r="86">
      <c r="I86" s="216"/>
      <c r="J86" s="216"/>
      <c r="K86" s="216"/>
      <c r="AX86" s="55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55"/>
      <c r="BT86" s="55"/>
      <c r="BU86" s="55"/>
      <c r="BV86" s="55"/>
      <c r="BW86" s="55"/>
      <c r="BX86" s="55"/>
      <c r="BY86" s="55"/>
    </row>
    <row r="87">
      <c r="I87" s="216"/>
      <c r="J87" s="216"/>
      <c r="K87" s="216"/>
      <c r="AX87" s="55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55"/>
      <c r="BT87" s="55"/>
      <c r="BU87" s="55"/>
      <c r="BV87" s="55"/>
      <c r="BW87" s="55"/>
      <c r="BX87" s="55"/>
      <c r="BY87" s="55"/>
    </row>
    <row r="88">
      <c r="I88" s="216"/>
      <c r="J88" s="216"/>
      <c r="K88" s="216"/>
      <c r="AX88" s="55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55"/>
      <c r="BT88" s="55"/>
      <c r="BU88" s="55"/>
      <c r="BV88" s="55"/>
      <c r="BW88" s="55"/>
      <c r="BX88" s="55"/>
      <c r="BY88" s="55"/>
    </row>
    <row r="89">
      <c r="I89" s="216"/>
      <c r="J89" s="216"/>
      <c r="K89" s="216"/>
      <c r="AX89" s="55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55"/>
      <c r="BT89" s="55"/>
      <c r="BU89" s="55"/>
      <c r="BV89" s="55"/>
      <c r="BW89" s="55"/>
      <c r="BX89" s="55"/>
      <c r="BY89" s="55"/>
    </row>
    <row r="90">
      <c r="I90" s="216"/>
      <c r="J90" s="216"/>
      <c r="K90" s="216"/>
      <c r="AX90" s="55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55"/>
      <c r="BT90" s="55"/>
      <c r="BU90" s="55"/>
      <c r="BV90" s="55"/>
      <c r="BW90" s="55"/>
      <c r="BX90" s="55"/>
      <c r="BY90" s="55"/>
    </row>
    <row r="91">
      <c r="I91" s="216"/>
      <c r="J91" s="216"/>
      <c r="K91" s="216"/>
      <c r="AX91" s="55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55"/>
      <c r="BT91" s="55"/>
      <c r="BU91" s="55"/>
      <c r="BV91" s="55"/>
      <c r="BW91" s="55"/>
      <c r="BX91" s="55"/>
      <c r="BY91" s="55"/>
    </row>
    <row r="92">
      <c r="I92" s="216"/>
      <c r="J92" s="216"/>
      <c r="K92" s="216"/>
      <c r="AX92" s="55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55"/>
      <c r="BT92" s="55"/>
      <c r="BU92" s="55"/>
      <c r="BV92" s="55"/>
      <c r="BW92" s="55"/>
      <c r="BX92" s="55"/>
      <c r="BY92" s="55"/>
    </row>
    <row r="93">
      <c r="I93" s="216"/>
      <c r="J93" s="216"/>
      <c r="K93" s="216"/>
      <c r="AX93" s="55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55"/>
      <c r="BT93" s="55"/>
      <c r="BU93" s="55"/>
      <c r="BV93" s="55"/>
      <c r="BW93" s="55"/>
      <c r="BX93" s="55"/>
      <c r="BY93" s="55"/>
    </row>
    <row r="94">
      <c r="I94" s="216"/>
      <c r="J94" s="216"/>
      <c r="K94" s="216"/>
      <c r="AX94" s="55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55"/>
      <c r="BT94" s="55"/>
      <c r="BU94" s="55"/>
      <c r="BV94" s="55"/>
      <c r="BW94" s="55"/>
      <c r="BX94" s="55"/>
      <c r="BY94" s="55"/>
    </row>
    <row r="95">
      <c r="I95" s="216"/>
      <c r="J95" s="216"/>
      <c r="K95" s="216"/>
      <c r="AX95" s="55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55"/>
      <c r="BT95" s="55"/>
      <c r="BU95" s="55"/>
      <c r="BV95" s="55"/>
      <c r="BW95" s="55"/>
      <c r="BX95" s="55"/>
      <c r="BY95" s="55"/>
    </row>
    <row r="96">
      <c r="I96" s="216"/>
      <c r="J96" s="216"/>
      <c r="K96" s="216"/>
      <c r="AX96" s="55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55"/>
      <c r="BT96" s="55"/>
      <c r="BU96" s="55"/>
      <c r="BV96" s="55"/>
      <c r="BW96" s="55"/>
      <c r="BX96" s="55"/>
      <c r="BY96" s="55"/>
    </row>
    <row r="97">
      <c r="I97" s="216"/>
      <c r="J97" s="216"/>
      <c r="K97" s="216"/>
      <c r="AX97" s="55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55"/>
      <c r="BT97" s="55"/>
      <c r="BU97" s="55"/>
      <c r="BV97" s="55"/>
      <c r="BW97" s="55"/>
      <c r="BX97" s="55"/>
      <c r="BY97" s="55"/>
    </row>
    <row r="98">
      <c r="I98" s="216"/>
      <c r="J98" s="216"/>
      <c r="K98" s="216"/>
      <c r="AX98" s="55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55"/>
      <c r="BT98" s="55"/>
      <c r="BU98" s="55"/>
      <c r="BV98" s="55"/>
      <c r="BW98" s="55"/>
      <c r="BX98" s="55"/>
      <c r="BY98" s="55"/>
    </row>
    <row r="99">
      <c r="I99" s="216"/>
      <c r="J99" s="216"/>
      <c r="K99" s="216"/>
      <c r="AX99" s="55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55"/>
      <c r="BT99" s="55"/>
      <c r="BU99" s="55"/>
      <c r="BV99" s="55"/>
      <c r="BW99" s="55"/>
      <c r="BX99" s="55"/>
      <c r="BY99" s="55"/>
    </row>
    <row r="100">
      <c r="I100" s="216"/>
      <c r="J100" s="216"/>
      <c r="K100" s="216"/>
      <c r="AX100" s="55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55"/>
      <c r="BT100" s="55"/>
      <c r="BU100" s="55"/>
      <c r="BV100" s="55"/>
      <c r="BW100" s="55"/>
      <c r="BX100" s="55"/>
      <c r="BY100" s="55"/>
    </row>
    <row r="101">
      <c r="I101" s="216"/>
      <c r="J101" s="216"/>
      <c r="K101" s="216"/>
      <c r="AX101" s="55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55"/>
      <c r="BT101" s="55"/>
      <c r="BU101" s="55"/>
      <c r="BV101" s="55"/>
      <c r="BW101" s="55"/>
      <c r="BX101" s="55"/>
      <c r="BY101" s="55"/>
    </row>
    <row r="102">
      <c r="I102" s="216"/>
      <c r="J102" s="216"/>
      <c r="K102" s="216"/>
      <c r="AX102" s="55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55"/>
      <c r="BT102" s="55"/>
      <c r="BU102" s="55"/>
      <c r="BV102" s="55"/>
      <c r="BW102" s="55"/>
      <c r="BX102" s="55"/>
      <c r="BY102" s="55"/>
    </row>
    <row r="103">
      <c r="I103" s="216"/>
      <c r="J103" s="216"/>
      <c r="K103" s="216"/>
      <c r="AX103" s="55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55"/>
      <c r="BT103" s="55"/>
      <c r="BU103" s="55"/>
      <c r="BV103" s="55"/>
      <c r="BW103" s="55"/>
      <c r="BX103" s="55"/>
      <c r="BY103" s="55"/>
    </row>
    <row r="104">
      <c r="I104" s="216"/>
      <c r="J104" s="216"/>
      <c r="K104" s="216"/>
      <c r="AX104" s="55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55"/>
      <c r="BT104" s="55"/>
      <c r="BU104" s="55"/>
      <c r="BV104" s="55"/>
      <c r="BW104" s="55"/>
      <c r="BX104" s="55"/>
      <c r="BY104" s="55"/>
    </row>
    <row r="105">
      <c r="I105" s="216"/>
      <c r="J105" s="216"/>
      <c r="K105" s="216"/>
      <c r="AX105" s="55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55"/>
      <c r="BT105" s="55"/>
      <c r="BU105" s="55"/>
      <c r="BV105" s="55"/>
      <c r="BW105" s="55"/>
      <c r="BX105" s="55"/>
      <c r="BY105" s="55"/>
    </row>
    <row r="106">
      <c r="I106" s="216"/>
      <c r="J106" s="216"/>
      <c r="K106" s="216"/>
      <c r="AX106" s="55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55"/>
      <c r="BT106" s="55"/>
      <c r="BU106" s="55"/>
      <c r="BV106" s="55"/>
      <c r="BW106" s="55"/>
      <c r="BX106" s="55"/>
      <c r="BY106" s="55"/>
    </row>
    <row r="107">
      <c r="I107" s="216"/>
      <c r="J107" s="216"/>
      <c r="K107" s="216"/>
      <c r="AX107" s="55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55"/>
      <c r="BT107" s="55"/>
      <c r="BU107" s="55"/>
      <c r="BV107" s="55"/>
      <c r="BW107" s="55"/>
      <c r="BX107" s="55"/>
      <c r="BY107" s="55"/>
    </row>
    <row r="108">
      <c r="I108" s="216"/>
      <c r="J108" s="216"/>
      <c r="K108" s="216"/>
      <c r="AX108" s="55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55"/>
      <c r="BT108" s="55"/>
      <c r="BU108" s="55"/>
      <c r="BV108" s="55"/>
      <c r="BW108" s="55"/>
      <c r="BX108" s="55"/>
      <c r="BY108" s="55"/>
    </row>
    <row r="109">
      <c r="I109" s="216"/>
      <c r="J109" s="216"/>
      <c r="K109" s="216"/>
      <c r="AX109" s="55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55"/>
      <c r="BT109" s="55"/>
      <c r="BU109" s="55"/>
      <c r="BV109" s="55"/>
      <c r="BW109" s="55"/>
      <c r="BX109" s="55"/>
      <c r="BY109" s="55"/>
    </row>
    <row r="110">
      <c r="I110" s="216"/>
      <c r="J110" s="216"/>
      <c r="K110" s="216"/>
      <c r="AX110" s="55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55"/>
      <c r="BT110" s="55"/>
      <c r="BU110" s="55"/>
      <c r="BV110" s="55"/>
      <c r="BW110" s="55"/>
      <c r="BX110" s="55"/>
      <c r="BY110" s="55"/>
    </row>
    <row r="111">
      <c r="I111" s="216"/>
      <c r="J111" s="216"/>
      <c r="K111" s="216"/>
      <c r="AX111" s="55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55"/>
      <c r="BT111" s="55"/>
      <c r="BU111" s="55"/>
      <c r="BV111" s="55"/>
      <c r="BW111" s="55"/>
      <c r="BX111" s="55"/>
      <c r="BY111" s="55"/>
    </row>
    <row r="112">
      <c r="I112" s="216"/>
      <c r="J112" s="216"/>
      <c r="K112" s="216"/>
      <c r="AX112" s="55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55"/>
      <c r="BT112" s="55"/>
      <c r="BU112" s="55"/>
      <c r="BV112" s="55"/>
      <c r="BW112" s="55"/>
      <c r="BX112" s="55"/>
      <c r="BY112" s="55"/>
    </row>
    <row r="113">
      <c r="I113" s="216"/>
      <c r="J113" s="216"/>
      <c r="K113" s="216"/>
      <c r="AX113" s="55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55"/>
      <c r="BT113" s="55"/>
      <c r="BU113" s="55"/>
      <c r="BV113" s="55"/>
      <c r="BW113" s="55"/>
      <c r="BX113" s="55"/>
      <c r="BY113" s="55"/>
    </row>
    <row r="114">
      <c r="I114" s="216"/>
      <c r="J114" s="216"/>
      <c r="K114" s="216"/>
      <c r="AX114" s="55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55"/>
      <c r="BT114" s="55"/>
      <c r="BU114" s="55"/>
      <c r="BV114" s="55"/>
      <c r="BW114" s="55"/>
      <c r="BX114" s="55"/>
      <c r="BY114" s="55"/>
    </row>
    <row r="115">
      <c r="I115" s="216"/>
      <c r="J115" s="216"/>
      <c r="K115" s="216"/>
      <c r="AX115" s="55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55"/>
      <c r="BT115" s="55"/>
      <c r="BU115" s="55"/>
      <c r="BV115" s="55"/>
      <c r="BW115" s="55"/>
      <c r="BX115" s="55"/>
      <c r="BY115" s="55"/>
    </row>
    <row r="116">
      <c r="I116" s="216"/>
      <c r="J116" s="216"/>
      <c r="K116" s="216"/>
      <c r="AX116" s="55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55"/>
      <c r="BT116" s="55"/>
      <c r="BU116" s="55"/>
      <c r="BV116" s="55"/>
      <c r="BW116" s="55"/>
      <c r="BX116" s="55"/>
      <c r="BY116" s="55"/>
    </row>
    <row r="117">
      <c r="I117" s="216"/>
      <c r="J117" s="216"/>
      <c r="K117" s="216"/>
      <c r="AX117" s="55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55"/>
      <c r="BT117" s="55"/>
      <c r="BU117" s="55"/>
      <c r="BV117" s="55"/>
      <c r="BW117" s="55"/>
      <c r="BX117" s="55"/>
      <c r="BY117" s="55"/>
    </row>
    <row r="118">
      <c r="I118" s="216"/>
      <c r="J118" s="216"/>
      <c r="K118" s="216"/>
      <c r="AX118" s="55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55"/>
      <c r="BT118" s="55"/>
      <c r="BU118" s="55"/>
      <c r="BV118" s="55"/>
      <c r="BW118" s="55"/>
      <c r="BX118" s="55"/>
      <c r="BY118" s="55"/>
    </row>
    <row r="119">
      <c r="I119" s="216"/>
      <c r="J119" s="216"/>
      <c r="K119" s="216"/>
      <c r="AX119" s="55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55"/>
      <c r="BT119" s="55"/>
      <c r="BU119" s="55"/>
      <c r="BV119" s="55"/>
      <c r="BW119" s="55"/>
      <c r="BX119" s="55"/>
      <c r="BY119" s="55"/>
    </row>
    <row r="120">
      <c r="I120" s="216"/>
      <c r="J120" s="216"/>
      <c r="K120" s="216"/>
      <c r="AX120" s="55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55"/>
      <c r="BT120" s="55"/>
      <c r="BU120" s="55"/>
      <c r="BV120" s="55"/>
      <c r="BW120" s="55"/>
      <c r="BX120" s="55"/>
      <c r="BY120" s="55"/>
    </row>
    <row r="121">
      <c r="I121" s="216"/>
      <c r="J121" s="216"/>
      <c r="K121" s="216"/>
      <c r="AX121" s="55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55"/>
      <c r="BT121" s="55"/>
      <c r="BU121" s="55"/>
      <c r="BV121" s="55"/>
      <c r="BW121" s="55"/>
      <c r="BX121" s="55"/>
      <c r="BY121" s="55"/>
    </row>
    <row r="122">
      <c r="I122" s="216"/>
      <c r="J122" s="216"/>
      <c r="K122" s="216"/>
      <c r="AX122" s="55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55"/>
      <c r="BT122" s="55"/>
      <c r="BU122" s="55"/>
      <c r="BV122" s="55"/>
      <c r="BW122" s="55"/>
      <c r="BX122" s="55"/>
      <c r="BY122" s="55"/>
    </row>
    <row r="123">
      <c r="I123" s="216"/>
      <c r="J123" s="216"/>
      <c r="K123" s="216"/>
      <c r="AX123" s="55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55"/>
      <c r="BT123" s="55"/>
      <c r="BU123" s="55"/>
      <c r="BV123" s="55"/>
      <c r="BW123" s="55"/>
      <c r="BX123" s="55"/>
      <c r="BY123" s="55"/>
    </row>
    <row r="124">
      <c r="I124" s="216"/>
      <c r="J124" s="216"/>
      <c r="K124" s="216"/>
      <c r="AX124" s="55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55"/>
      <c r="BT124" s="55"/>
      <c r="BU124" s="55"/>
      <c r="BV124" s="55"/>
      <c r="BW124" s="55"/>
      <c r="BX124" s="55"/>
      <c r="BY124" s="55"/>
    </row>
    <row r="125">
      <c r="I125" s="216"/>
      <c r="J125" s="216"/>
      <c r="K125" s="216"/>
      <c r="AX125" s="55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55"/>
      <c r="BT125" s="55"/>
      <c r="BU125" s="55"/>
      <c r="BV125" s="55"/>
      <c r="BW125" s="55"/>
      <c r="BX125" s="55"/>
      <c r="BY125" s="55"/>
    </row>
    <row r="126">
      <c r="I126" s="216"/>
      <c r="J126" s="216"/>
      <c r="K126" s="216"/>
      <c r="AX126" s="55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55"/>
      <c r="BT126" s="55"/>
      <c r="BU126" s="55"/>
      <c r="BV126" s="55"/>
      <c r="BW126" s="55"/>
      <c r="BX126" s="55"/>
      <c r="BY126" s="55"/>
    </row>
    <row r="127">
      <c r="I127" s="216"/>
      <c r="J127" s="216"/>
      <c r="K127" s="216"/>
      <c r="AX127" s="55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55"/>
      <c r="BT127" s="55"/>
      <c r="BU127" s="55"/>
      <c r="BV127" s="55"/>
      <c r="BW127" s="55"/>
      <c r="BX127" s="55"/>
      <c r="BY127" s="55"/>
    </row>
    <row r="128">
      <c r="I128" s="216"/>
      <c r="J128" s="216"/>
      <c r="K128" s="216"/>
      <c r="AX128" s="55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55"/>
      <c r="BT128" s="55"/>
      <c r="BU128" s="55"/>
      <c r="BV128" s="55"/>
      <c r="BW128" s="55"/>
      <c r="BX128" s="55"/>
      <c r="BY128" s="55"/>
    </row>
    <row r="129">
      <c r="I129" s="216"/>
      <c r="J129" s="216"/>
      <c r="K129" s="216"/>
      <c r="AX129" s="55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55"/>
      <c r="BT129" s="55"/>
      <c r="BU129" s="55"/>
      <c r="BV129" s="55"/>
      <c r="BW129" s="55"/>
      <c r="BX129" s="55"/>
      <c r="BY129" s="55"/>
    </row>
    <row r="130">
      <c r="I130" s="216"/>
      <c r="J130" s="216"/>
      <c r="K130" s="216"/>
      <c r="AX130" s="55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55"/>
      <c r="BT130" s="55"/>
      <c r="BU130" s="55"/>
      <c r="BV130" s="55"/>
      <c r="BW130" s="55"/>
      <c r="BX130" s="55"/>
      <c r="BY130" s="55"/>
    </row>
    <row r="131">
      <c r="I131" s="216"/>
      <c r="J131" s="216"/>
      <c r="K131" s="216"/>
      <c r="AX131" s="55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55"/>
      <c r="BT131" s="55"/>
      <c r="BU131" s="55"/>
      <c r="BV131" s="55"/>
      <c r="BW131" s="55"/>
      <c r="BX131" s="55"/>
      <c r="BY131" s="55"/>
    </row>
    <row r="132">
      <c r="I132" s="216"/>
      <c r="J132" s="216"/>
      <c r="K132" s="216"/>
      <c r="AX132" s="55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55"/>
      <c r="BT132" s="55"/>
      <c r="BU132" s="55"/>
      <c r="BV132" s="55"/>
      <c r="BW132" s="55"/>
      <c r="BX132" s="55"/>
      <c r="BY132" s="55"/>
    </row>
    <row r="133">
      <c r="I133" s="216"/>
      <c r="J133" s="216"/>
      <c r="K133" s="216"/>
      <c r="AX133" s="55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55"/>
      <c r="BT133" s="55"/>
      <c r="BU133" s="55"/>
      <c r="BV133" s="55"/>
      <c r="BW133" s="55"/>
      <c r="BX133" s="55"/>
      <c r="BY133" s="55"/>
    </row>
    <row r="134">
      <c r="I134" s="216"/>
      <c r="J134" s="216"/>
      <c r="K134" s="216"/>
      <c r="AX134" s="55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55"/>
      <c r="BT134" s="55"/>
      <c r="BU134" s="55"/>
      <c r="BV134" s="55"/>
      <c r="BW134" s="55"/>
      <c r="BX134" s="55"/>
      <c r="BY134" s="55"/>
    </row>
    <row r="135">
      <c r="I135" s="216"/>
      <c r="J135" s="216"/>
      <c r="K135" s="216"/>
      <c r="AX135" s="55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55"/>
      <c r="BT135" s="55"/>
      <c r="BU135" s="55"/>
      <c r="BV135" s="55"/>
      <c r="BW135" s="55"/>
      <c r="BX135" s="55"/>
      <c r="BY135" s="55"/>
    </row>
    <row r="136">
      <c r="I136" s="216"/>
      <c r="J136" s="216"/>
      <c r="K136" s="216"/>
      <c r="AX136" s="55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55"/>
      <c r="BT136" s="55"/>
      <c r="BU136" s="55"/>
      <c r="BV136" s="55"/>
      <c r="BW136" s="55"/>
      <c r="BX136" s="55"/>
      <c r="BY136" s="55"/>
    </row>
    <row r="137">
      <c r="I137" s="216"/>
      <c r="J137" s="216"/>
      <c r="K137" s="216"/>
      <c r="AX137" s="55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55"/>
      <c r="BT137" s="55"/>
      <c r="BU137" s="55"/>
      <c r="BV137" s="55"/>
      <c r="BW137" s="55"/>
      <c r="BX137" s="55"/>
      <c r="BY137" s="55"/>
    </row>
    <row r="138">
      <c r="I138" s="216"/>
      <c r="J138" s="216"/>
      <c r="K138" s="216"/>
      <c r="AX138" s="55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55"/>
      <c r="BT138" s="55"/>
      <c r="BU138" s="55"/>
      <c r="BV138" s="55"/>
      <c r="BW138" s="55"/>
      <c r="BX138" s="55"/>
      <c r="BY138" s="55"/>
    </row>
    <row r="139">
      <c r="I139" s="216"/>
      <c r="J139" s="216"/>
      <c r="K139" s="216"/>
      <c r="AX139" s="55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55"/>
      <c r="BT139" s="55"/>
      <c r="BU139" s="55"/>
      <c r="BV139" s="55"/>
      <c r="BW139" s="55"/>
      <c r="BX139" s="55"/>
      <c r="BY139" s="55"/>
    </row>
    <row r="140">
      <c r="I140" s="216"/>
      <c r="J140" s="216"/>
      <c r="K140" s="216"/>
      <c r="AX140" s="55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55"/>
      <c r="BT140" s="55"/>
      <c r="BU140" s="55"/>
      <c r="BV140" s="55"/>
      <c r="BW140" s="55"/>
      <c r="BX140" s="55"/>
      <c r="BY140" s="55"/>
    </row>
    <row r="141">
      <c r="I141" s="216"/>
      <c r="J141" s="216"/>
      <c r="K141" s="216"/>
      <c r="AX141" s="55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55"/>
      <c r="BT141" s="55"/>
      <c r="BU141" s="55"/>
      <c r="BV141" s="55"/>
      <c r="BW141" s="55"/>
      <c r="BX141" s="55"/>
      <c r="BY141" s="55"/>
    </row>
    <row r="142">
      <c r="I142" s="216"/>
      <c r="J142" s="216"/>
      <c r="K142" s="216"/>
      <c r="AX142" s="55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55"/>
      <c r="BT142" s="55"/>
      <c r="BU142" s="55"/>
      <c r="BV142" s="55"/>
      <c r="BW142" s="55"/>
      <c r="BX142" s="55"/>
      <c r="BY142" s="55"/>
    </row>
    <row r="143">
      <c r="I143" s="216"/>
      <c r="J143" s="216"/>
      <c r="K143" s="216"/>
      <c r="AX143" s="55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55"/>
      <c r="BT143" s="55"/>
      <c r="BU143" s="55"/>
      <c r="BV143" s="55"/>
      <c r="BW143" s="55"/>
      <c r="BX143" s="55"/>
      <c r="BY143" s="55"/>
    </row>
    <row r="144">
      <c r="I144" s="216"/>
      <c r="J144" s="216"/>
      <c r="K144" s="216"/>
      <c r="AX144" s="55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55"/>
      <c r="BT144" s="55"/>
      <c r="BU144" s="55"/>
      <c r="BV144" s="55"/>
      <c r="BW144" s="55"/>
      <c r="BX144" s="55"/>
      <c r="BY144" s="55"/>
    </row>
    <row r="145">
      <c r="I145" s="216"/>
      <c r="J145" s="216"/>
      <c r="K145" s="216"/>
      <c r="AX145" s="55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55"/>
      <c r="BT145" s="55"/>
      <c r="BU145" s="55"/>
      <c r="BV145" s="55"/>
      <c r="BW145" s="55"/>
      <c r="BX145" s="55"/>
      <c r="BY145" s="55"/>
    </row>
    <row r="146">
      <c r="I146" s="216"/>
      <c r="J146" s="216"/>
      <c r="K146" s="216"/>
      <c r="AX146" s="55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55"/>
      <c r="BT146" s="55"/>
      <c r="BU146" s="55"/>
      <c r="BV146" s="55"/>
      <c r="BW146" s="55"/>
      <c r="BX146" s="55"/>
      <c r="BY146" s="55"/>
    </row>
    <row r="147">
      <c r="I147" s="216"/>
      <c r="J147" s="216"/>
      <c r="K147" s="216"/>
      <c r="AX147" s="55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55"/>
      <c r="BT147" s="55"/>
      <c r="BU147" s="55"/>
      <c r="BV147" s="55"/>
      <c r="BW147" s="55"/>
      <c r="BX147" s="55"/>
      <c r="BY147" s="55"/>
    </row>
    <row r="148">
      <c r="I148" s="216"/>
      <c r="J148" s="216"/>
      <c r="K148" s="216"/>
      <c r="AX148" s="55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55"/>
      <c r="BT148" s="55"/>
      <c r="BU148" s="55"/>
      <c r="BV148" s="55"/>
      <c r="BW148" s="55"/>
      <c r="BX148" s="55"/>
      <c r="BY148" s="55"/>
    </row>
    <row r="149">
      <c r="I149" s="216"/>
      <c r="J149" s="216"/>
      <c r="K149" s="216"/>
      <c r="AX149" s="55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55"/>
      <c r="BT149" s="55"/>
      <c r="BU149" s="55"/>
      <c r="BV149" s="55"/>
      <c r="BW149" s="55"/>
      <c r="BX149" s="55"/>
      <c r="BY149" s="55"/>
    </row>
    <row r="150">
      <c r="I150" s="216"/>
      <c r="J150" s="216"/>
      <c r="K150" s="216"/>
      <c r="AX150" s="55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55"/>
      <c r="BT150" s="55"/>
      <c r="BU150" s="55"/>
      <c r="BV150" s="55"/>
      <c r="BW150" s="55"/>
      <c r="BX150" s="55"/>
      <c r="BY150" s="55"/>
    </row>
    <row r="151">
      <c r="I151" s="216"/>
      <c r="J151" s="216"/>
      <c r="K151" s="216"/>
      <c r="AX151" s="55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55"/>
      <c r="BT151" s="55"/>
      <c r="BU151" s="55"/>
      <c r="BV151" s="55"/>
      <c r="BW151" s="55"/>
      <c r="BX151" s="55"/>
      <c r="BY151" s="55"/>
    </row>
    <row r="152">
      <c r="I152" s="216"/>
      <c r="J152" s="216"/>
      <c r="K152" s="216"/>
      <c r="AX152" s="55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55"/>
      <c r="BT152" s="55"/>
      <c r="BU152" s="55"/>
      <c r="BV152" s="55"/>
      <c r="BW152" s="55"/>
      <c r="BX152" s="55"/>
      <c r="BY152" s="55"/>
    </row>
    <row r="153">
      <c r="I153" s="216"/>
      <c r="J153" s="216"/>
      <c r="K153" s="216"/>
      <c r="AX153" s="55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55"/>
      <c r="BT153" s="55"/>
      <c r="BU153" s="55"/>
      <c r="BV153" s="55"/>
      <c r="BW153" s="55"/>
      <c r="BX153" s="55"/>
      <c r="BY153" s="55"/>
    </row>
    <row r="154">
      <c r="I154" s="216"/>
      <c r="J154" s="216"/>
      <c r="K154" s="216"/>
      <c r="AX154" s="55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55"/>
      <c r="BT154" s="55"/>
      <c r="BU154" s="55"/>
      <c r="BV154" s="55"/>
      <c r="BW154" s="55"/>
      <c r="BX154" s="55"/>
      <c r="BY154" s="55"/>
    </row>
    <row r="155">
      <c r="I155" s="216"/>
      <c r="J155" s="216"/>
      <c r="K155" s="216"/>
      <c r="AX155" s="55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55"/>
      <c r="BT155" s="55"/>
      <c r="BU155" s="55"/>
      <c r="BV155" s="55"/>
      <c r="BW155" s="55"/>
      <c r="BX155" s="55"/>
      <c r="BY155" s="55"/>
    </row>
    <row r="156">
      <c r="I156" s="216"/>
      <c r="J156" s="216"/>
      <c r="K156" s="216"/>
      <c r="AX156" s="55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55"/>
      <c r="BT156" s="55"/>
      <c r="BU156" s="55"/>
      <c r="BV156" s="55"/>
      <c r="BW156" s="55"/>
      <c r="BX156" s="55"/>
      <c r="BY156" s="55"/>
    </row>
    <row r="157">
      <c r="I157" s="216"/>
      <c r="J157" s="216"/>
      <c r="K157" s="216"/>
      <c r="AX157" s="55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55"/>
      <c r="BT157" s="55"/>
      <c r="BU157" s="55"/>
      <c r="BV157" s="55"/>
      <c r="BW157" s="55"/>
      <c r="BX157" s="55"/>
      <c r="BY157" s="55"/>
    </row>
    <row r="158">
      <c r="I158" s="216"/>
      <c r="J158" s="216"/>
      <c r="K158" s="216"/>
      <c r="AX158" s="55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55"/>
      <c r="BT158" s="55"/>
      <c r="BU158" s="55"/>
      <c r="BV158" s="55"/>
      <c r="BW158" s="55"/>
      <c r="BX158" s="55"/>
      <c r="BY158" s="55"/>
    </row>
    <row r="159">
      <c r="I159" s="216"/>
      <c r="J159" s="216"/>
      <c r="K159" s="216"/>
      <c r="AX159" s="55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55"/>
      <c r="BT159" s="55"/>
      <c r="BU159" s="55"/>
      <c r="BV159" s="55"/>
      <c r="BW159" s="55"/>
      <c r="BX159" s="55"/>
      <c r="BY159" s="55"/>
    </row>
    <row r="160">
      <c r="I160" s="216"/>
      <c r="J160" s="216"/>
      <c r="K160" s="216"/>
      <c r="AX160" s="55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55"/>
      <c r="BT160" s="55"/>
      <c r="BU160" s="55"/>
      <c r="BV160" s="55"/>
      <c r="BW160" s="55"/>
      <c r="BX160" s="55"/>
      <c r="BY160" s="55"/>
    </row>
    <row r="161">
      <c r="I161" s="216"/>
      <c r="J161" s="216"/>
      <c r="K161" s="216"/>
      <c r="AX161" s="55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55"/>
      <c r="BT161" s="55"/>
      <c r="BU161" s="55"/>
      <c r="BV161" s="55"/>
      <c r="BW161" s="55"/>
      <c r="BX161" s="55"/>
      <c r="BY161" s="55"/>
    </row>
    <row r="162">
      <c r="I162" s="216"/>
      <c r="J162" s="216"/>
      <c r="K162" s="216"/>
      <c r="AX162" s="55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55"/>
      <c r="BT162" s="55"/>
      <c r="BU162" s="55"/>
      <c r="BV162" s="55"/>
      <c r="BW162" s="55"/>
      <c r="BX162" s="55"/>
      <c r="BY162" s="55"/>
    </row>
    <row r="163">
      <c r="I163" s="216"/>
      <c r="J163" s="216"/>
      <c r="K163" s="216"/>
      <c r="AX163" s="55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55"/>
      <c r="BT163" s="55"/>
      <c r="BU163" s="55"/>
      <c r="BV163" s="55"/>
      <c r="BW163" s="55"/>
      <c r="BX163" s="55"/>
      <c r="BY163" s="55"/>
    </row>
    <row r="164">
      <c r="I164" s="216"/>
      <c r="J164" s="216"/>
      <c r="K164" s="216"/>
      <c r="AX164" s="55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55"/>
      <c r="BT164" s="55"/>
      <c r="BU164" s="55"/>
      <c r="BV164" s="55"/>
      <c r="BW164" s="55"/>
      <c r="BX164" s="55"/>
      <c r="BY164" s="55"/>
    </row>
    <row r="165">
      <c r="I165" s="216"/>
      <c r="J165" s="216"/>
      <c r="K165" s="216"/>
      <c r="AX165" s="55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55"/>
      <c r="BT165" s="55"/>
      <c r="BU165" s="55"/>
      <c r="BV165" s="55"/>
      <c r="BW165" s="55"/>
      <c r="BX165" s="55"/>
      <c r="BY165" s="55"/>
    </row>
    <row r="166">
      <c r="I166" s="216"/>
      <c r="J166" s="216"/>
      <c r="K166" s="216"/>
      <c r="AX166" s="55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55"/>
      <c r="BT166" s="55"/>
      <c r="BU166" s="55"/>
      <c r="BV166" s="55"/>
      <c r="BW166" s="55"/>
      <c r="BX166" s="55"/>
      <c r="BY166" s="55"/>
    </row>
    <row r="167">
      <c r="I167" s="216"/>
      <c r="J167" s="216"/>
      <c r="K167" s="216"/>
      <c r="AX167" s="55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55"/>
      <c r="BT167" s="55"/>
      <c r="BU167" s="55"/>
      <c r="BV167" s="55"/>
      <c r="BW167" s="55"/>
      <c r="BX167" s="55"/>
      <c r="BY167" s="55"/>
    </row>
    <row r="168">
      <c r="I168" s="216"/>
      <c r="J168" s="216"/>
      <c r="K168" s="216"/>
      <c r="AX168" s="55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55"/>
      <c r="BT168" s="55"/>
      <c r="BU168" s="55"/>
      <c r="BV168" s="55"/>
      <c r="BW168" s="55"/>
      <c r="BX168" s="55"/>
      <c r="BY168" s="55"/>
    </row>
    <row r="169">
      <c r="I169" s="216"/>
      <c r="J169" s="216"/>
      <c r="K169" s="216"/>
      <c r="AX169" s="55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55"/>
      <c r="BT169" s="55"/>
      <c r="BU169" s="55"/>
      <c r="BV169" s="55"/>
      <c r="BW169" s="55"/>
      <c r="BX169" s="55"/>
      <c r="BY169" s="55"/>
    </row>
    <row r="170">
      <c r="I170" s="216"/>
      <c r="J170" s="216"/>
      <c r="K170" s="216"/>
      <c r="AX170" s="55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55"/>
      <c r="BT170" s="55"/>
      <c r="BU170" s="55"/>
      <c r="BV170" s="55"/>
      <c r="BW170" s="55"/>
      <c r="BX170" s="55"/>
      <c r="BY170" s="55"/>
    </row>
    <row r="171">
      <c r="I171" s="216"/>
      <c r="J171" s="216"/>
      <c r="K171" s="216"/>
      <c r="AX171" s="55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55"/>
      <c r="BT171" s="55"/>
      <c r="BU171" s="55"/>
      <c r="BV171" s="55"/>
      <c r="BW171" s="55"/>
      <c r="BX171" s="55"/>
      <c r="BY171" s="55"/>
    </row>
    <row r="172">
      <c r="I172" s="216"/>
      <c r="J172" s="216"/>
      <c r="K172" s="216"/>
      <c r="AX172" s="55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55"/>
      <c r="BT172" s="55"/>
      <c r="BU172" s="55"/>
      <c r="BV172" s="55"/>
      <c r="BW172" s="55"/>
      <c r="BX172" s="55"/>
      <c r="BY172" s="55"/>
    </row>
    <row r="173">
      <c r="I173" s="216"/>
      <c r="J173" s="216"/>
      <c r="K173" s="216"/>
      <c r="AX173" s="55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55"/>
      <c r="BT173" s="55"/>
      <c r="BU173" s="55"/>
      <c r="BV173" s="55"/>
      <c r="BW173" s="55"/>
      <c r="BX173" s="55"/>
      <c r="BY173" s="55"/>
    </row>
    <row r="174">
      <c r="I174" s="216"/>
      <c r="J174" s="216"/>
      <c r="K174" s="216"/>
      <c r="AX174" s="55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55"/>
      <c r="BT174" s="55"/>
      <c r="BU174" s="55"/>
      <c r="BV174" s="55"/>
      <c r="BW174" s="55"/>
      <c r="BX174" s="55"/>
      <c r="BY174" s="55"/>
    </row>
    <row r="175">
      <c r="I175" s="216"/>
      <c r="J175" s="216"/>
      <c r="K175" s="216"/>
      <c r="AX175" s="55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55"/>
      <c r="BT175" s="55"/>
      <c r="BU175" s="55"/>
      <c r="BV175" s="55"/>
      <c r="BW175" s="55"/>
      <c r="BX175" s="55"/>
      <c r="BY175" s="55"/>
    </row>
    <row r="176">
      <c r="I176" s="216"/>
      <c r="J176" s="216"/>
      <c r="K176" s="216"/>
      <c r="AX176" s="55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55"/>
      <c r="BT176" s="55"/>
      <c r="BU176" s="55"/>
      <c r="BV176" s="55"/>
      <c r="BW176" s="55"/>
      <c r="BX176" s="55"/>
      <c r="BY176" s="55"/>
    </row>
    <row r="177">
      <c r="I177" s="216"/>
      <c r="J177" s="216"/>
      <c r="K177" s="216"/>
      <c r="AX177" s="55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55"/>
      <c r="BT177" s="55"/>
      <c r="BU177" s="55"/>
      <c r="BV177" s="55"/>
      <c r="BW177" s="55"/>
      <c r="BX177" s="55"/>
      <c r="BY177" s="55"/>
    </row>
    <row r="178">
      <c r="I178" s="216"/>
      <c r="J178" s="216"/>
      <c r="K178" s="216"/>
      <c r="AX178" s="55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55"/>
      <c r="BT178" s="55"/>
      <c r="BU178" s="55"/>
      <c r="BV178" s="55"/>
      <c r="BW178" s="55"/>
      <c r="BX178" s="55"/>
      <c r="BY178" s="55"/>
    </row>
    <row r="179">
      <c r="I179" s="216"/>
      <c r="J179" s="216"/>
      <c r="K179" s="216"/>
      <c r="AX179" s="55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55"/>
      <c r="BT179" s="55"/>
      <c r="BU179" s="55"/>
      <c r="BV179" s="55"/>
      <c r="BW179" s="55"/>
      <c r="BX179" s="55"/>
      <c r="BY179" s="55"/>
    </row>
    <row r="180">
      <c r="I180" s="216"/>
      <c r="J180" s="216"/>
      <c r="K180" s="216"/>
      <c r="AX180" s="55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55"/>
      <c r="BT180" s="55"/>
      <c r="BU180" s="55"/>
      <c r="BV180" s="55"/>
      <c r="BW180" s="55"/>
      <c r="BX180" s="55"/>
      <c r="BY180" s="55"/>
    </row>
    <row r="181">
      <c r="I181" s="216"/>
      <c r="J181" s="216"/>
      <c r="K181" s="216"/>
      <c r="AX181" s="55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55"/>
      <c r="BT181" s="55"/>
      <c r="BU181" s="55"/>
      <c r="BV181" s="55"/>
      <c r="BW181" s="55"/>
      <c r="BX181" s="55"/>
      <c r="BY181" s="55"/>
    </row>
    <row r="182">
      <c r="I182" s="216"/>
      <c r="J182" s="216"/>
      <c r="K182" s="216"/>
      <c r="AX182" s="55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55"/>
      <c r="BT182" s="55"/>
      <c r="BU182" s="55"/>
      <c r="BV182" s="55"/>
      <c r="BW182" s="55"/>
      <c r="BX182" s="55"/>
      <c r="BY182" s="55"/>
    </row>
    <row r="183">
      <c r="I183" s="216"/>
      <c r="J183" s="216"/>
      <c r="K183" s="216"/>
      <c r="AX183" s="55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55"/>
      <c r="BT183" s="55"/>
      <c r="BU183" s="55"/>
      <c r="BV183" s="55"/>
      <c r="BW183" s="55"/>
      <c r="BX183" s="55"/>
      <c r="BY183" s="55"/>
    </row>
    <row r="184">
      <c r="I184" s="216"/>
      <c r="J184" s="216"/>
      <c r="K184" s="216"/>
      <c r="AX184" s="55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55"/>
      <c r="BT184" s="55"/>
      <c r="BU184" s="55"/>
      <c r="BV184" s="55"/>
      <c r="BW184" s="55"/>
      <c r="BX184" s="55"/>
      <c r="BY184" s="55"/>
    </row>
    <row r="185">
      <c r="I185" s="216"/>
      <c r="J185" s="216"/>
      <c r="K185" s="216"/>
      <c r="AX185" s="55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55"/>
      <c r="BT185" s="55"/>
      <c r="BU185" s="55"/>
      <c r="BV185" s="55"/>
      <c r="BW185" s="55"/>
      <c r="BX185" s="55"/>
      <c r="BY185" s="55"/>
    </row>
    <row r="186">
      <c r="I186" s="216"/>
      <c r="J186" s="216"/>
      <c r="K186" s="216"/>
      <c r="AX186" s="55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55"/>
      <c r="BT186" s="55"/>
      <c r="BU186" s="55"/>
      <c r="BV186" s="55"/>
      <c r="BW186" s="55"/>
      <c r="BX186" s="55"/>
      <c r="BY186" s="55"/>
    </row>
    <row r="187">
      <c r="I187" s="216"/>
      <c r="J187" s="216"/>
      <c r="K187" s="216"/>
      <c r="AX187" s="55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55"/>
      <c r="BT187" s="55"/>
      <c r="BU187" s="55"/>
      <c r="BV187" s="55"/>
      <c r="BW187" s="55"/>
      <c r="BX187" s="55"/>
      <c r="BY187" s="55"/>
    </row>
    <row r="188">
      <c r="I188" s="216"/>
      <c r="J188" s="216"/>
      <c r="K188" s="216"/>
      <c r="AX188" s="55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55"/>
      <c r="BT188" s="55"/>
      <c r="BU188" s="55"/>
      <c r="BV188" s="55"/>
      <c r="BW188" s="55"/>
      <c r="BX188" s="55"/>
      <c r="BY188" s="55"/>
    </row>
    <row r="189">
      <c r="I189" s="216"/>
      <c r="J189" s="216"/>
      <c r="K189" s="216"/>
      <c r="AX189" s="55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55"/>
      <c r="BT189" s="55"/>
      <c r="BU189" s="55"/>
      <c r="BV189" s="55"/>
      <c r="BW189" s="55"/>
      <c r="BX189" s="55"/>
      <c r="BY189" s="55"/>
    </row>
    <row r="190">
      <c r="I190" s="216"/>
      <c r="J190" s="216"/>
      <c r="K190" s="216"/>
      <c r="AX190" s="55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55"/>
      <c r="BT190" s="55"/>
      <c r="BU190" s="55"/>
      <c r="BV190" s="55"/>
      <c r="BW190" s="55"/>
      <c r="BX190" s="55"/>
      <c r="BY190" s="55"/>
    </row>
    <row r="191">
      <c r="I191" s="216"/>
      <c r="J191" s="216"/>
      <c r="K191" s="216"/>
      <c r="AX191" s="55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55"/>
      <c r="BT191" s="55"/>
      <c r="BU191" s="55"/>
      <c r="BV191" s="55"/>
      <c r="BW191" s="55"/>
      <c r="BX191" s="55"/>
      <c r="BY191" s="55"/>
    </row>
    <row r="192">
      <c r="I192" s="216"/>
      <c r="J192" s="216"/>
      <c r="K192" s="216"/>
      <c r="AX192" s="55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55"/>
      <c r="BT192" s="55"/>
      <c r="BU192" s="55"/>
      <c r="BV192" s="55"/>
      <c r="BW192" s="55"/>
      <c r="BX192" s="55"/>
      <c r="BY192" s="55"/>
    </row>
    <row r="193">
      <c r="I193" s="216"/>
      <c r="J193" s="216"/>
      <c r="K193" s="216"/>
      <c r="AX193" s="55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55"/>
      <c r="BT193" s="55"/>
      <c r="BU193" s="55"/>
      <c r="BV193" s="55"/>
      <c r="BW193" s="55"/>
      <c r="BX193" s="55"/>
      <c r="BY193" s="55"/>
    </row>
    <row r="194">
      <c r="I194" s="216"/>
      <c r="J194" s="216"/>
      <c r="K194" s="216"/>
      <c r="AX194" s="55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55"/>
      <c r="BT194" s="55"/>
      <c r="BU194" s="55"/>
      <c r="BV194" s="55"/>
      <c r="BW194" s="55"/>
      <c r="BX194" s="55"/>
      <c r="BY194" s="55"/>
    </row>
    <row r="195">
      <c r="I195" s="216"/>
      <c r="J195" s="216"/>
      <c r="K195" s="216"/>
      <c r="AX195" s="55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55"/>
      <c r="BT195" s="55"/>
      <c r="BU195" s="55"/>
      <c r="BV195" s="55"/>
      <c r="BW195" s="55"/>
      <c r="BX195" s="55"/>
      <c r="BY195" s="55"/>
    </row>
    <row r="196">
      <c r="I196" s="216"/>
      <c r="J196" s="216"/>
      <c r="K196" s="216"/>
      <c r="AX196" s="55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55"/>
      <c r="BT196" s="55"/>
      <c r="BU196" s="55"/>
      <c r="BV196" s="55"/>
      <c r="BW196" s="55"/>
      <c r="BX196" s="55"/>
      <c r="BY196" s="55"/>
    </row>
    <row r="197">
      <c r="I197" s="216"/>
      <c r="J197" s="216"/>
      <c r="K197" s="216"/>
      <c r="AX197" s="55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55"/>
      <c r="BT197" s="55"/>
      <c r="BU197" s="55"/>
      <c r="BV197" s="55"/>
      <c r="BW197" s="55"/>
      <c r="BX197" s="55"/>
      <c r="BY197" s="55"/>
    </row>
    <row r="198">
      <c r="I198" s="216"/>
      <c r="J198" s="216"/>
      <c r="K198" s="216"/>
      <c r="AX198" s="55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55"/>
      <c r="BT198" s="55"/>
      <c r="BU198" s="55"/>
      <c r="BV198" s="55"/>
      <c r="BW198" s="55"/>
      <c r="BX198" s="55"/>
      <c r="BY198" s="55"/>
    </row>
    <row r="199">
      <c r="I199" s="216"/>
      <c r="J199" s="216"/>
      <c r="K199" s="216"/>
      <c r="AX199" s="55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55"/>
      <c r="BT199" s="55"/>
      <c r="BU199" s="55"/>
      <c r="BV199" s="55"/>
      <c r="BW199" s="55"/>
      <c r="BX199" s="55"/>
      <c r="BY199" s="55"/>
    </row>
    <row r="200">
      <c r="I200" s="216"/>
      <c r="J200" s="216"/>
      <c r="K200" s="216"/>
      <c r="AX200" s="55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55"/>
      <c r="BT200" s="55"/>
      <c r="BU200" s="55"/>
      <c r="BV200" s="55"/>
      <c r="BW200" s="55"/>
      <c r="BX200" s="55"/>
      <c r="BY200" s="55"/>
    </row>
    <row r="201">
      <c r="I201" s="216"/>
      <c r="J201" s="216"/>
      <c r="K201" s="216"/>
      <c r="AX201" s="55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55"/>
      <c r="BT201" s="55"/>
      <c r="BU201" s="55"/>
      <c r="BV201" s="55"/>
      <c r="BW201" s="55"/>
      <c r="BX201" s="55"/>
      <c r="BY201" s="55"/>
    </row>
    <row r="202">
      <c r="I202" s="216"/>
      <c r="J202" s="216"/>
      <c r="K202" s="216"/>
      <c r="AX202" s="55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55"/>
      <c r="BT202" s="55"/>
      <c r="BU202" s="55"/>
      <c r="BV202" s="55"/>
      <c r="BW202" s="55"/>
      <c r="BX202" s="55"/>
      <c r="BY202" s="55"/>
    </row>
    <row r="203">
      <c r="I203" s="216"/>
      <c r="J203" s="216"/>
      <c r="K203" s="216"/>
      <c r="AX203" s="55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55"/>
      <c r="BT203" s="55"/>
      <c r="BU203" s="55"/>
      <c r="BV203" s="55"/>
      <c r="BW203" s="55"/>
      <c r="BX203" s="55"/>
      <c r="BY203" s="55"/>
    </row>
    <row r="204">
      <c r="I204" s="216"/>
      <c r="J204" s="216"/>
      <c r="K204" s="216"/>
      <c r="AX204" s="55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55"/>
      <c r="BT204" s="55"/>
      <c r="BU204" s="55"/>
      <c r="BV204" s="55"/>
      <c r="BW204" s="55"/>
      <c r="BX204" s="55"/>
      <c r="BY204" s="55"/>
    </row>
    <row r="205">
      <c r="I205" s="216"/>
      <c r="J205" s="216"/>
      <c r="K205" s="216"/>
      <c r="AX205" s="55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55"/>
      <c r="BT205" s="55"/>
      <c r="BU205" s="55"/>
      <c r="BV205" s="55"/>
      <c r="BW205" s="55"/>
      <c r="BX205" s="55"/>
      <c r="BY205" s="55"/>
    </row>
    <row r="206">
      <c r="I206" s="216"/>
      <c r="J206" s="216"/>
      <c r="K206" s="216"/>
      <c r="AX206" s="55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55"/>
      <c r="BT206" s="55"/>
      <c r="BU206" s="55"/>
      <c r="BV206" s="55"/>
      <c r="BW206" s="55"/>
      <c r="BX206" s="55"/>
      <c r="BY206" s="55"/>
    </row>
    <row r="207">
      <c r="I207" s="216"/>
      <c r="J207" s="216"/>
      <c r="K207" s="216"/>
      <c r="AX207" s="55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55"/>
      <c r="BT207" s="55"/>
      <c r="BU207" s="55"/>
      <c r="BV207" s="55"/>
      <c r="BW207" s="55"/>
      <c r="BX207" s="55"/>
      <c r="BY207" s="55"/>
    </row>
    <row r="208">
      <c r="I208" s="216"/>
      <c r="J208" s="216"/>
      <c r="K208" s="216"/>
      <c r="AX208" s="55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55"/>
      <c r="BT208" s="55"/>
      <c r="BU208" s="55"/>
      <c r="BV208" s="55"/>
      <c r="BW208" s="55"/>
      <c r="BX208" s="55"/>
      <c r="BY208" s="55"/>
    </row>
    <row r="209">
      <c r="I209" s="216"/>
      <c r="J209" s="216"/>
      <c r="K209" s="216"/>
      <c r="AX209" s="55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55"/>
      <c r="BT209" s="55"/>
      <c r="BU209" s="55"/>
      <c r="BV209" s="55"/>
      <c r="BW209" s="55"/>
      <c r="BX209" s="55"/>
      <c r="BY209" s="55"/>
    </row>
    <row r="210">
      <c r="I210" s="216"/>
      <c r="J210" s="216"/>
      <c r="K210" s="216"/>
      <c r="AX210" s="55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55"/>
      <c r="BT210" s="55"/>
      <c r="BU210" s="55"/>
      <c r="BV210" s="55"/>
      <c r="BW210" s="55"/>
      <c r="BX210" s="55"/>
      <c r="BY210" s="55"/>
    </row>
    <row r="211">
      <c r="I211" s="216"/>
      <c r="J211" s="216"/>
      <c r="K211" s="216"/>
      <c r="AX211" s="55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55"/>
      <c r="BT211" s="55"/>
      <c r="BU211" s="55"/>
      <c r="BV211" s="55"/>
      <c r="BW211" s="55"/>
      <c r="BX211" s="55"/>
      <c r="BY211" s="55"/>
    </row>
    <row r="212">
      <c r="I212" s="216"/>
      <c r="J212" s="216"/>
      <c r="K212" s="216"/>
      <c r="AX212" s="55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55"/>
      <c r="BT212" s="55"/>
      <c r="BU212" s="55"/>
      <c r="BV212" s="55"/>
      <c r="BW212" s="55"/>
      <c r="BX212" s="55"/>
      <c r="BY212" s="55"/>
    </row>
    <row r="213">
      <c r="I213" s="216"/>
      <c r="J213" s="216"/>
      <c r="K213" s="216"/>
      <c r="AX213" s="55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55"/>
      <c r="BT213" s="55"/>
      <c r="BU213" s="55"/>
      <c r="BV213" s="55"/>
      <c r="BW213" s="55"/>
      <c r="BX213" s="55"/>
      <c r="BY213" s="55"/>
    </row>
    <row r="214">
      <c r="I214" s="216"/>
      <c r="J214" s="216"/>
      <c r="K214" s="216"/>
      <c r="AX214" s="55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55"/>
      <c r="BT214" s="55"/>
      <c r="BU214" s="55"/>
      <c r="BV214" s="55"/>
      <c r="BW214" s="55"/>
      <c r="BX214" s="55"/>
      <c r="BY214" s="55"/>
    </row>
    <row r="215">
      <c r="I215" s="216"/>
      <c r="J215" s="216"/>
      <c r="K215" s="216"/>
      <c r="AX215" s="55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55"/>
      <c r="BT215" s="55"/>
      <c r="BU215" s="55"/>
      <c r="BV215" s="55"/>
      <c r="BW215" s="55"/>
      <c r="BX215" s="55"/>
      <c r="BY215" s="55"/>
    </row>
    <row r="216">
      <c r="I216" s="216"/>
      <c r="J216" s="216"/>
      <c r="K216" s="216"/>
      <c r="AX216" s="55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55"/>
      <c r="BT216" s="55"/>
      <c r="BU216" s="55"/>
      <c r="BV216" s="55"/>
      <c r="BW216" s="55"/>
      <c r="BX216" s="55"/>
      <c r="BY216" s="55"/>
    </row>
    <row r="217">
      <c r="I217" s="216"/>
      <c r="J217" s="216"/>
      <c r="K217" s="216"/>
      <c r="AX217" s="55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55"/>
      <c r="BT217" s="55"/>
      <c r="BU217" s="55"/>
      <c r="BV217" s="55"/>
      <c r="BW217" s="55"/>
      <c r="BX217" s="55"/>
      <c r="BY217" s="55"/>
    </row>
    <row r="218">
      <c r="I218" s="216"/>
      <c r="J218" s="216"/>
      <c r="K218" s="216"/>
      <c r="AX218" s="55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55"/>
      <c r="BT218" s="55"/>
      <c r="BU218" s="55"/>
      <c r="BV218" s="55"/>
      <c r="BW218" s="55"/>
      <c r="BX218" s="55"/>
      <c r="BY218" s="55"/>
    </row>
    <row r="219">
      <c r="I219" s="216"/>
      <c r="J219" s="216"/>
      <c r="K219" s="216"/>
      <c r="AX219" s="55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55"/>
      <c r="BT219" s="55"/>
      <c r="BU219" s="55"/>
      <c r="BV219" s="55"/>
      <c r="BW219" s="55"/>
      <c r="BX219" s="55"/>
      <c r="BY219" s="55"/>
    </row>
    <row r="220">
      <c r="I220" s="216"/>
      <c r="J220" s="216"/>
      <c r="K220" s="216"/>
      <c r="AX220" s="55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55"/>
      <c r="BT220" s="55"/>
      <c r="BU220" s="55"/>
      <c r="BV220" s="55"/>
      <c r="BW220" s="55"/>
      <c r="BX220" s="55"/>
      <c r="BY220" s="55"/>
    </row>
    <row r="221">
      <c r="I221" s="216"/>
      <c r="J221" s="216"/>
      <c r="K221" s="216"/>
      <c r="AX221" s="55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55"/>
      <c r="BT221" s="55"/>
      <c r="BU221" s="55"/>
      <c r="BV221" s="55"/>
      <c r="BW221" s="55"/>
      <c r="BX221" s="55"/>
      <c r="BY221" s="55"/>
    </row>
    <row r="222">
      <c r="I222" s="216"/>
      <c r="J222" s="216"/>
      <c r="K222" s="216"/>
      <c r="AX222" s="55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55"/>
      <c r="BT222" s="55"/>
      <c r="BU222" s="55"/>
      <c r="BV222" s="55"/>
      <c r="BW222" s="55"/>
      <c r="BX222" s="55"/>
      <c r="BY222" s="55"/>
    </row>
    <row r="223">
      <c r="I223" s="216"/>
      <c r="J223" s="216"/>
      <c r="K223" s="216"/>
      <c r="AX223" s="55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55"/>
      <c r="BT223" s="55"/>
      <c r="BU223" s="55"/>
      <c r="BV223" s="55"/>
      <c r="BW223" s="55"/>
      <c r="BX223" s="55"/>
      <c r="BY223" s="55"/>
    </row>
    <row r="224">
      <c r="I224" s="216"/>
      <c r="J224" s="216"/>
      <c r="K224" s="216"/>
      <c r="AX224" s="55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55"/>
      <c r="BT224" s="55"/>
      <c r="BU224" s="55"/>
      <c r="BV224" s="55"/>
      <c r="BW224" s="55"/>
      <c r="BX224" s="55"/>
      <c r="BY224" s="55"/>
    </row>
    <row r="225">
      <c r="I225" s="216"/>
      <c r="J225" s="216"/>
      <c r="K225" s="216"/>
      <c r="AX225" s="55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55"/>
      <c r="BT225" s="55"/>
      <c r="BU225" s="55"/>
      <c r="BV225" s="55"/>
      <c r="BW225" s="55"/>
      <c r="BX225" s="55"/>
      <c r="BY225" s="55"/>
    </row>
    <row r="226">
      <c r="I226" s="216"/>
      <c r="J226" s="216"/>
      <c r="K226" s="216"/>
      <c r="AX226" s="55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55"/>
      <c r="BT226" s="55"/>
      <c r="BU226" s="55"/>
      <c r="BV226" s="55"/>
      <c r="BW226" s="55"/>
      <c r="BX226" s="55"/>
      <c r="BY226" s="55"/>
    </row>
    <row r="227">
      <c r="I227" s="216"/>
      <c r="J227" s="216"/>
      <c r="K227" s="216"/>
      <c r="AX227" s="55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55"/>
      <c r="BT227" s="55"/>
      <c r="BU227" s="55"/>
      <c r="BV227" s="55"/>
      <c r="BW227" s="55"/>
      <c r="BX227" s="55"/>
      <c r="BY227" s="55"/>
    </row>
    <row r="228">
      <c r="I228" s="216"/>
      <c r="J228" s="216"/>
      <c r="K228" s="216"/>
      <c r="AX228" s="55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55"/>
      <c r="BT228" s="55"/>
      <c r="BU228" s="55"/>
      <c r="BV228" s="55"/>
      <c r="BW228" s="55"/>
      <c r="BX228" s="55"/>
      <c r="BY228" s="55"/>
    </row>
    <row r="229">
      <c r="I229" s="216"/>
      <c r="J229" s="216"/>
      <c r="K229" s="216"/>
      <c r="AX229" s="55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55"/>
      <c r="BT229" s="55"/>
      <c r="BU229" s="55"/>
      <c r="BV229" s="55"/>
      <c r="BW229" s="55"/>
      <c r="BX229" s="55"/>
      <c r="BY229" s="55"/>
    </row>
    <row r="230">
      <c r="I230" s="216"/>
      <c r="J230" s="216"/>
      <c r="K230" s="216"/>
      <c r="AX230" s="55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55"/>
      <c r="BT230" s="55"/>
      <c r="BU230" s="55"/>
      <c r="BV230" s="55"/>
      <c r="BW230" s="55"/>
      <c r="BX230" s="55"/>
      <c r="BY230" s="55"/>
    </row>
    <row r="231">
      <c r="I231" s="216"/>
      <c r="J231" s="216"/>
      <c r="K231" s="216"/>
      <c r="AX231" s="55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55"/>
      <c r="BT231" s="55"/>
      <c r="BU231" s="55"/>
      <c r="BV231" s="55"/>
      <c r="BW231" s="55"/>
      <c r="BX231" s="55"/>
      <c r="BY231" s="55"/>
    </row>
    <row r="232">
      <c r="I232" s="216"/>
      <c r="J232" s="216"/>
      <c r="K232" s="216"/>
      <c r="AX232" s="55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55"/>
      <c r="BT232" s="55"/>
      <c r="BU232" s="55"/>
      <c r="BV232" s="55"/>
      <c r="BW232" s="55"/>
      <c r="BX232" s="55"/>
      <c r="BY232" s="55"/>
    </row>
    <row r="233">
      <c r="I233" s="216"/>
      <c r="J233" s="216"/>
      <c r="K233" s="216"/>
      <c r="AX233" s="55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55"/>
      <c r="BT233" s="55"/>
      <c r="BU233" s="55"/>
      <c r="BV233" s="55"/>
      <c r="BW233" s="55"/>
      <c r="BX233" s="55"/>
      <c r="BY233" s="55"/>
    </row>
    <row r="234">
      <c r="I234" s="216"/>
      <c r="J234" s="216"/>
      <c r="K234" s="216"/>
      <c r="AX234" s="55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55"/>
      <c r="BT234" s="55"/>
      <c r="BU234" s="55"/>
      <c r="BV234" s="55"/>
      <c r="BW234" s="55"/>
      <c r="BX234" s="55"/>
      <c r="BY234" s="55"/>
    </row>
    <row r="235">
      <c r="I235" s="216"/>
      <c r="J235" s="216"/>
      <c r="K235" s="216"/>
      <c r="AX235" s="55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55"/>
      <c r="BT235" s="55"/>
      <c r="BU235" s="55"/>
      <c r="BV235" s="55"/>
      <c r="BW235" s="55"/>
      <c r="BX235" s="55"/>
      <c r="BY235" s="55"/>
    </row>
    <row r="236">
      <c r="I236" s="216"/>
      <c r="J236" s="216"/>
      <c r="K236" s="216"/>
      <c r="AX236" s="55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55"/>
      <c r="BT236" s="55"/>
      <c r="BU236" s="55"/>
      <c r="BV236" s="55"/>
      <c r="BW236" s="55"/>
      <c r="BX236" s="55"/>
      <c r="BY236" s="55"/>
    </row>
    <row r="237">
      <c r="I237" s="216"/>
      <c r="J237" s="216"/>
      <c r="K237" s="216"/>
      <c r="AX237" s="55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55"/>
      <c r="BT237" s="55"/>
      <c r="BU237" s="55"/>
      <c r="BV237" s="55"/>
      <c r="BW237" s="55"/>
      <c r="BX237" s="55"/>
      <c r="BY237" s="55"/>
    </row>
    <row r="238">
      <c r="I238" s="216"/>
      <c r="J238" s="216"/>
      <c r="K238" s="216"/>
      <c r="AX238" s="55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55"/>
      <c r="BT238" s="55"/>
      <c r="BU238" s="55"/>
      <c r="BV238" s="55"/>
      <c r="BW238" s="55"/>
      <c r="BX238" s="55"/>
      <c r="BY238" s="55"/>
    </row>
    <row r="239">
      <c r="I239" s="216"/>
      <c r="J239" s="216"/>
      <c r="K239" s="216"/>
      <c r="AX239" s="55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55"/>
      <c r="BT239" s="55"/>
      <c r="BU239" s="55"/>
      <c r="BV239" s="55"/>
      <c r="BW239" s="55"/>
      <c r="BX239" s="55"/>
      <c r="BY239" s="55"/>
    </row>
    <row r="240">
      <c r="I240" s="216"/>
      <c r="J240" s="216"/>
      <c r="K240" s="216"/>
      <c r="AX240" s="55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55"/>
      <c r="BT240" s="55"/>
      <c r="BU240" s="55"/>
      <c r="BV240" s="55"/>
      <c r="BW240" s="55"/>
      <c r="BX240" s="55"/>
      <c r="BY240" s="55"/>
    </row>
    <row r="241">
      <c r="I241" s="216"/>
      <c r="J241" s="216"/>
      <c r="K241" s="216"/>
      <c r="AX241" s="55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55"/>
      <c r="BT241" s="55"/>
      <c r="BU241" s="55"/>
      <c r="BV241" s="55"/>
      <c r="BW241" s="55"/>
      <c r="BX241" s="55"/>
      <c r="BY241" s="55"/>
    </row>
    <row r="242">
      <c r="I242" s="216"/>
      <c r="J242" s="216"/>
      <c r="K242" s="216"/>
      <c r="AX242" s="55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55"/>
      <c r="BT242" s="55"/>
      <c r="BU242" s="55"/>
      <c r="BV242" s="55"/>
      <c r="BW242" s="55"/>
      <c r="BX242" s="55"/>
      <c r="BY242" s="55"/>
    </row>
    <row r="243">
      <c r="I243" s="216"/>
      <c r="J243" s="216"/>
      <c r="K243" s="216"/>
      <c r="AX243" s="55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55"/>
      <c r="BT243" s="55"/>
      <c r="BU243" s="55"/>
      <c r="BV243" s="55"/>
      <c r="BW243" s="55"/>
      <c r="BX243" s="55"/>
      <c r="BY243" s="55"/>
    </row>
    <row r="244">
      <c r="I244" s="216"/>
      <c r="J244" s="216"/>
      <c r="K244" s="216"/>
      <c r="AX244" s="55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55"/>
      <c r="BT244" s="55"/>
      <c r="BU244" s="55"/>
      <c r="BV244" s="55"/>
      <c r="BW244" s="55"/>
      <c r="BX244" s="55"/>
      <c r="BY244" s="55"/>
    </row>
    <row r="245">
      <c r="I245" s="216"/>
      <c r="J245" s="216"/>
      <c r="K245" s="216"/>
      <c r="AX245" s="55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55"/>
      <c r="BT245" s="55"/>
      <c r="BU245" s="55"/>
      <c r="BV245" s="55"/>
      <c r="BW245" s="55"/>
      <c r="BX245" s="55"/>
      <c r="BY245" s="55"/>
    </row>
    <row r="246">
      <c r="I246" s="216"/>
      <c r="J246" s="216"/>
      <c r="K246" s="216"/>
      <c r="AX246" s="55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55"/>
      <c r="BT246" s="55"/>
      <c r="BU246" s="55"/>
      <c r="BV246" s="55"/>
      <c r="BW246" s="55"/>
      <c r="BX246" s="55"/>
      <c r="BY246" s="55"/>
    </row>
    <row r="247">
      <c r="I247" s="216"/>
      <c r="J247" s="216"/>
      <c r="K247" s="216"/>
      <c r="AX247" s="55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55"/>
      <c r="BT247" s="55"/>
      <c r="BU247" s="55"/>
      <c r="BV247" s="55"/>
      <c r="BW247" s="55"/>
      <c r="BX247" s="55"/>
      <c r="BY247" s="55"/>
    </row>
    <row r="248">
      <c r="I248" s="216"/>
      <c r="J248" s="216"/>
      <c r="K248" s="216"/>
      <c r="AX248" s="55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55"/>
      <c r="BT248" s="55"/>
      <c r="BU248" s="55"/>
      <c r="BV248" s="55"/>
      <c r="BW248" s="55"/>
      <c r="BX248" s="55"/>
      <c r="BY248" s="55"/>
    </row>
    <row r="249">
      <c r="I249" s="216"/>
      <c r="J249" s="216"/>
      <c r="K249" s="216"/>
      <c r="AX249" s="55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55"/>
      <c r="BT249" s="55"/>
      <c r="BU249" s="55"/>
      <c r="BV249" s="55"/>
      <c r="BW249" s="55"/>
      <c r="BX249" s="55"/>
      <c r="BY249" s="55"/>
    </row>
    <row r="250">
      <c r="I250" s="216"/>
      <c r="J250" s="216"/>
      <c r="K250" s="216"/>
      <c r="AX250" s="55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55"/>
      <c r="BT250" s="55"/>
      <c r="BU250" s="55"/>
      <c r="BV250" s="55"/>
      <c r="BW250" s="55"/>
      <c r="BX250" s="55"/>
      <c r="BY250" s="55"/>
    </row>
    <row r="251">
      <c r="I251" s="216"/>
      <c r="J251" s="216"/>
      <c r="K251" s="216"/>
      <c r="AX251" s="55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55"/>
      <c r="BT251" s="55"/>
      <c r="BU251" s="55"/>
      <c r="BV251" s="55"/>
      <c r="BW251" s="55"/>
      <c r="BX251" s="55"/>
      <c r="BY251" s="55"/>
    </row>
    <row r="252">
      <c r="I252" s="216"/>
      <c r="J252" s="216"/>
      <c r="K252" s="216"/>
      <c r="AX252" s="55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55"/>
      <c r="BT252" s="55"/>
      <c r="BU252" s="55"/>
      <c r="BV252" s="55"/>
      <c r="BW252" s="55"/>
      <c r="BX252" s="55"/>
      <c r="BY252" s="55"/>
    </row>
    <row r="253">
      <c r="I253" s="216"/>
      <c r="J253" s="216"/>
      <c r="K253" s="216"/>
      <c r="AX253" s="55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55"/>
      <c r="BT253" s="55"/>
      <c r="BU253" s="55"/>
      <c r="BV253" s="55"/>
      <c r="BW253" s="55"/>
      <c r="BX253" s="55"/>
      <c r="BY253" s="55"/>
    </row>
    <row r="254">
      <c r="I254" s="216"/>
      <c r="J254" s="216"/>
      <c r="K254" s="216"/>
      <c r="AX254" s="55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55"/>
      <c r="BT254" s="55"/>
      <c r="BU254" s="55"/>
      <c r="BV254" s="55"/>
      <c r="BW254" s="55"/>
      <c r="BX254" s="55"/>
      <c r="BY254" s="55"/>
    </row>
    <row r="255">
      <c r="I255" s="216"/>
      <c r="J255" s="216"/>
      <c r="K255" s="216"/>
      <c r="AX255" s="55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55"/>
      <c r="BT255" s="55"/>
      <c r="BU255" s="55"/>
      <c r="BV255" s="55"/>
      <c r="BW255" s="55"/>
      <c r="BX255" s="55"/>
      <c r="BY255" s="55"/>
    </row>
    <row r="256">
      <c r="I256" s="216"/>
      <c r="J256" s="216"/>
      <c r="K256" s="216"/>
      <c r="AX256" s="55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55"/>
      <c r="BT256" s="55"/>
      <c r="BU256" s="55"/>
      <c r="BV256" s="55"/>
      <c r="BW256" s="55"/>
      <c r="BX256" s="55"/>
      <c r="BY256" s="55"/>
    </row>
    <row r="257">
      <c r="I257" s="216"/>
      <c r="J257" s="216"/>
      <c r="K257" s="216"/>
      <c r="AX257" s="55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55"/>
      <c r="BT257" s="55"/>
      <c r="BU257" s="55"/>
      <c r="BV257" s="55"/>
      <c r="BW257" s="55"/>
      <c r="BX257" s="55"/>
      <c r="BY257" s="55"/>
    </row>
    <row r="258">
      <c r="I258" s="216"/>
      <c r="J258" s="216"/>
      <c r="K258" s="216"/>
      <c r="AX258" s="55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55"/>
      <c r="BT258" s="55"/>
      <c r="BU258" s="55"/>
      <c r="BV258" s="55"/>
      <c r="BW258" s="55"/>
      <c r="BX258" s="55"/>
      <c r="BY258" s="55"/>
    </row>
    <row r="259">
      <c r="I259" s="216"/>
      <c r="J259" s="216"/>
      <c r="K259" s="216"/>
      <c r="AX259" s="55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55"/>
      <c r="BT259" s="55"/>
      <c r="BU259" s="55"/>
      <c r="BV259" s="55"/>
      <c r="BW259" s="55"/>
      <c r="BX259" s="55"/>
      <c r="BY259" s="55"/>
    </row>
    <row r="260">
      <c r="I260" s="216"/>
      <c r="J260" s="216"/>
      <c r="K260" s="216"/>
      <c r="AX260" s="55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55"/>
      <c r="BT260" s="55"/>
      <c r="BU260" s="55"/>
      <c r="BV260" s="55"/>
      <c r="BW260" s="55"/>
      <c r="BX260" s="55"/>
      <c r="BY260" s="55"/>
    </row>
    <row r="261">
      <c r="I261" s="216"/>
      <c r="J261" s="216"/>
      <c r="K261" s="216"/>
      <c r="AX261" s="55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55"/>
      <c r="BT261" s="55"/>
      <c r="BU261" s="55"/>
      <c r="BV261" s="55"/>
      <c r="BW261" s="55"/>
      <c r="BX261" s="55"/>
      <c r="BY261" s="55"/>
    </row>
    <row r="262">
      <c r="I262" s="216"/>
      <c r="J262" s="216"/>
      <c r="K262" s="216"/>
      <c r="AX262" s="55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55"/>
      <c r="BT262" s="55"/>
      <c r="BU262" s="55"/>
      <c r="BV262" s="55"/>
      <c r="BW262" s="55"/>
      <c r="BX262" s="55"/>
      <c r="BY262" s="55"/>
    </row>
    <row r="263">
      <c r="I263" s="216"/>
      <c r="J263" s="216"/>
      <c r="K263" s="216"/>
      <c r="AX263" s="55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55"/>
      <c r="BT263" s="55"/>
      <c r="BU263" s="55"/>
      <c r="BV263" s="55"/>
      <c r="BW263" s="55"/>
      <c r="BX263" s="55"/>
      <c r="BY263" s="55"/>
    </row>
    <row r="264">
      <c r="I264" s="216"/>
      <c r="J264" s="216"/>
      <c r="K264" s="216"/>
      <c r="AX264" s="55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55"/>
      <c r="BT264" s="55"/>
      <c r="BU264" s="55"/>
      <c r="BV264" s="55"/>
      <c r="BW264" s="55"/>
      <c r="BX264" s="55"/>
      <c r="BY264" s="55"/>
    </row>
    <row r="265">
      <c r="I265" s="216"/>
      <c r="J265" s="216"/>
      <c r="K265" s="216"/>
      <c r="AX265" s="55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55"/>
      <c r="BT265" s="55"/>
      <c r="BU265" s="55"/>
      <c r="BV265" s="55"/>
      <c r="BW265" s="55"/>
      <c r="BX265" s="55"/>
      <c r="BY265" s="55"/>
    </row>
    <row r="266">
      <c r="I266" s="216"/>
      <c r="J266" s="216"/>
      <c r="K266" s="216"/>
      <c r="AX266" s="55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55"/>
      <c r="BT266" s="55"/>
      <c r="BU266" s="55"/>
      <c r="BV266" s="55"/>
      <c r="BW266" s="55"/>
      <c r="BX266" s="55"/>
      <c r="BY266" s="55"/>
    </row>
    <row r="267">
      <c r="I267" s="216"/>
      <c r="J267" s="216"/>
      <c r="K267" s="216"/>
      <c r="AX267" s="55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55"/>
      <c r="BT267" s="55"/>
      <c r="BU267" s="55"/>
      <c r="BV267" s="55"/>
      <c r="BW267" s="55"/>
      <c r="BX267" s="55"/>
      <c r="BY267" s="55"/>
    </row>
    <row r="268">
      <c r="I268" s="216"/>
      <c r="J268" s="216"/>
      <c r="K268" s="216"/>
      <c r="AX268" s="55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55"/>
      <c r="BT268" s="55"/>
      <c r="BU268" s="55"/>
      <c r="BV268" s="55"/>
      <c r="BW268" s="55"/>
      <c r="BX268" s="55"/>
      <c r="BY268" s="55"/>
    </row>
    <row r="269">
      <c r="I269" s="216"/>
      <c r="J269" s="216"/>
      <c r="K269" s="216"/>
      <c r="AX269" s="55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55"/>
      <c r="BT269" s="55"/>
      <c r="BU269" s="55"/>
      <c r="BV269" s="55"/>
      <c r="BW269" s="55"/>
      <c r="BX269" s="55"/>
      <c r="BY269" s="55"/>
    </row>
    <row r="270">
      <c r="I270" s="216"/>
      <c r="J270" s="216"/>
      <c r="K270" s="216"/>
      <c r="AX270" s="55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55"/>
      <c r="BT270" s="55"/>
      <c r="BU270" s="55"/>
      <c r="BV270" s="55"/>
      <c r="BW270" s="55"/>
      <c r="BX270" s="55"/>
      <c r="BY270" s="55"/>
    </row>
    <row r="271">
      <c r="I271" s="216"/>
      <c r="J271" s="216"/>
      <c r="K271" s="216"/>
      <c r="AX271" s="55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55"/>
      <c r="BT271" s="55"/>
      <c r="BU271" s="55"/>
      <c r="BV271" s="55"/>
      <c r="BW271" s="55"/>
      <c r="BX271" s="55"/>
      <c r="BY271" s="55"/>
    </row>
    <row r="272">
      <c r="I272" s="216"/>
      <c r="J272" s="216"/>
      <c r="K272" s="216"/>
      <c r="AX272" s="55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55"/>
      <c r="BT272" s="55"/>
      <c r="BU272" s="55"/>
      <c r="BV272" s="55"/>
      <c r="BW272" s="55"/>
      <c r="BX272" s="55"/>
      <c r="BY272" s="55"/>
    </row>
    <row r="273">
      <c r="I273" s="216"/>
      <c r="J273" s="216"/>
      <c r="K273" s="216"/>
      <c r="AX273" s="55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55"/>
      <c r="BT273" s="55"/>
      <c r="BU273" s="55"/>
      <c r="BV273" s="55"/>
      <c r="BW273" s="55"/>
      <c r="BX273" s="55"/>
      <c r="BY273" s="55"/>
    </row>
    <row r="274">
      <c r="I274" s="216"/>
      <c r="J274" s="216"/>
      <c r="K274" s="216"/>
      <c r="AX274" s="55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55"/>
      <c r="BT274" s="55"/>
      <c r="BU274" s="55"/>
      <c r="BV274" s="55"/>
      <c r="BW274" s="55"/>
      <c r="BX274" s="55"/>
      <c r="BY274" s="55"/>
    </row>
    <row r="275">
      <c r="I275" s="216"/>
      <c r="J275" s="216"/>
      <c r="K275" s="216"/>
      <c r="AX275" s="55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55"/>
      <c r="BT275" s="55"/>
      <c r="BU275" s="55"/>
      <c r="BV275" s="55"/>
      <c r="BW275" s="55"/>
      <c r="BX275" s="55"/>
      <c r="BY275" s="55"/>
    </row>
    <row r="276">
      <c r="I276" s="216"/>
      <c r="J276" s="216"/>
      <c r="K276" s="216"/>
      <c r="AX276" s="55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55"/>
      <c r="BT276" s="55"/>
      <c r="BU276" s="55"/>
      <c r="BV276" s="55"/>
      <c r="BW276" s="55"/>
      <c r="BX276" s="55"/>
      <c r="BY276" s="55"/>
    </row>
    <row r="277">
      <c r="I277" s="216"/>
      <c r="J277" s="216"/>
      <c r="K277" s="216"/>
      <c r="AX277" s="55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55"/>
      <c r="BT277" s="55"/>
      <c r="BU277" s="55"/>
      <c r="BV277" s="55"/>
      <c r="BW277" s="55"/>
      <c r="BX277" s="55"/>
      <c r="BY277" s="55"/>
    </row>
    <row r="278">
      <c r="I278" s="216"/>
      <c r="J278" s="216"/>
      <c r="K278" s="216"/>
      <c r="AX278" s="55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55"/>
      <c r="BT278" s="55"/>
      <c r="BU278" s="55"/>
      <c r="BV278" s="55"/>
      <c r="BW278" s="55"/>
      <c r="BX278" s="55"/>
      <c r="BY278" s="55"/>
    </row>
    <row r="279">
      <c r="I279" s="216"/>
      <c r="J279" s="216"/>
      <c r="K279" s="216"/>
      <c r="AX279" s="55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55"/>
      <c r="BT279" s="55"/>
      <c r="BU279" s="55"/>
      <c r="BV279" s="55"/>
      <c r="BW279" s="55"/>
      <c r="BX279" s="55"/>
      <c r="BY279" s="55"/>
    </row>
    <row r="280">
      <c r="I280" s="216"/>
      <c r="J280" s="216"/>
      <c r="K280" s="216"/>
      <c r="AX280" s="55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55"/>
      <c r="BT280" s="55"/>
      <c r="BU280" s="55"/>
      <c r="BV280" s="55"/>
      <c r="BW280" s="55"/>
      <c r="BX280" s="55"/>
      <c r="BY280" s="55"/>
    </row>
    <row r="281">
      <c r="I281" s="216"/>
      <c r="J281" s="216"/>
      <c r="K281" s="216"/>
      <c r="AX281" s="55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55"/>
      <c r="BT281" s="55"/>
      <c r="BU281" s="55"/>
      <c r="BV281" s="55"/>
      <c r="BW281" s="55"/>
      <c r="BX281" s="55"/>
      <c r="BY281" s="55"/>
    </row>
    <row r="282">
      <c r="I282" s="216"/>
      <c r="J282" s="216"/>
      <c r="K282" s="216"/>
      <c r="AX282" s="55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55"/>
      <c r="BT282" s="55"/>
      <c r="BU282" s="55"/>
      <c r="BV282" s="55"/>
      <c r="BW282" s="55"/>
      <c r="BX282" s="55"/>
      <c r="BY282" s="55"/>
    </row>
    <row r="283">
      <c r="I283" s="216"/>
      <c r="J283" s="216"/>
      <c r="K283" s="216"/>
      <c r="AX283" s="55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55"/>
      <c r="BT283" s="55"/>
      <c r="BU283" s="55"/>
      <c r="BV283" s="55"/>
      <c r="BW283" s="55"/>
      <c r="BX283" s="55"/>
      <c r="BY283" s="55"/>
    </row>
    <row r="284">
      <c r="I284" s="216"/>
      <c r="J284" s="216"/>
      <c r="K284" s="216"/>
      <c r="AX284" s="55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55"/>
      <c r="BT284" s="55"/>
      <c r="BU284" s="55"/>
      <c r="BV284" s="55"/>
      <c r="BW284" s="55"/>
      <c r="BX284" s="55"/>
      <c r="BY284" s="55"/>
    </row>
    <row r="285">
      <c r="I285" s="216"/>
      <c r="J285" s="216"/>
      <c r="K285" s="216"/>
      <c r="AX285" s="55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55"/>
      <c r="BT285" s="55"/>
      <c r="BU285" s="55"/>
      <c r="BV285" s="55"/>
      <c r="BW285" s="55"/>
      <c r="BX285" s="55"/>
      <c r="BY285" s="55"/>
    </row>
    <row r="286">
      <c r="I286" s="216"/>
      <c r="J286" s="216"/>
      <c r="K286" s="216"/>
      <c r="AX286" s="55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55"/>
      <c r="BT286" s="55"/>
      <c r="BU286" s="55"/>
      <c r="BV286" s="55"/>
      <c r="BW286" s="55"/>
      <c r="BX286" s="55"/>
      <c r="BY286" s="55"/>
    </row>
    <row r="287">
      <c r="I287" s="216"/>
      <c r="J287" s="216"/>
      <c r="K287" s="216"/>
      <c r="AX287" s="55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55"/>
      <c r="BT287" s="55"/>
      <c r="BU287" s="55"/>
      <c r="BV287" s="55"/>
      <c r="BW287" s="55"/>
      <c r="BX287" s="55"/>
      <c r="BY287" s="55"/>
    </row>
    <row r="288">
      <c r="I288" s="216"/>
      <c r="J288" s="216"/>
      <c r="K288" s="216"/>
      <c r="AX288" s="55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55"/>
      <c r="BT288" s="55"/>
      <c r="BU288" s="55"/>
      <c r="BV288" s="55"/>
      <c r="BW288" s="55"/>
      <c r="BX288" s="55"/>
      <c r="BY288" s="55"/>
    </row>
    <row r="289">
      <c r="I289" s="216"/>
      <c r="J289" s="216"/>
      <c r="K289" s="216"/>
      <c r="AX289" s="55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55"/>
      <c r="BT289" s="55"/>
      <c r="BU289" s="55"/>
      <c r="BV289" s="55"/>
      <c r="BW289" s="55"/>
      <c r="BX289" s="55"/>
      <c r="BY289" s="55"/>
    </row>
    <row r="290">
      <c r="I290" s="216"/>
      <c r="J290" s="216"/>
      <c r="K290" s="216"/>
      <c r="AX290" s="55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55"/>
      <c r="BT290" s="55"/>
      <c r="BU290" s="55"/>
      <c r="BV290" s="55"/>
      <c r="BW290" s="55"/>
      <c r="BX290" s="55"/>
      <c r="BY290" s="55"/>
    </row>
    <row r="291">
      <c r="I291" s="216"/>
      <c r="J291" s="216"/>
      <c r="K291" s="216"/>
      <c r="AX291" s="55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55"/>
      <c r="BT291" s="55"/>
      <c r="BU291" s="55"/>
      <c r="BV291" s="55"/>
      <c r="BW291" s="55"/>
      <c r="BX291" s="55"/>
      <c r="BY291" s="55"/>
    </row>
    <row r="292">
      <c r="I292" s="216"/>
      <c r="J292" s="216"/>
      <c r="K292" s="216"/>
      <c r="AX292" s="55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55"/>
      <c r="BT292" s="55"/>
      <c r="BU292" s="55"/>
      <c r="BV292" s="55"/>
      <c r="BW292" s="55"/>
      <c r="BX292" s="55"/>
      <c r="BY292" s="55"/>
    </row>
    <row r="293">
      <c r="I293" s="216"/>
      <c r="J293" s="216"/>
      <c r="K293" s="216"/>
      <c r="AX293" s="55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55"/>
      <c r="BT293" s="55"/>
      <c r="BU293" s="55"/>
      <c r="BV293" s="55"/>
      <c r="BW293" s="55"/>
      <c r="BX293" s="55"/>
      <c r="BY293" s="55"/>
    </row>
    <row r="294">
      <c r="I294" s="216"/>
      <c r="J294" s="216"/>
      <c r="K294" s="216"/>
      <c r="AX294" s="55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55"/>
      <c r="BT294" s="55"/>
      <c r="BU294" s="55"/>
      <c r="BV294" s="55"/>
      <c r="BW294" s="55"/>
      <c r="BX294" s="55"/>
      <c r="BY294" s="55"/>
    </row>
    <row r="295">
      <c r="I295" s="216"/>
      <c r="J295" s="216"/>
      <c r="K295" s="216"/>
      <c r="AX295" s="55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55"/>
      <c r="BT295" s="55"/>
      <c r="BU295" s="55"/>
      <c r="BV295" s="55"/>
      <c r="BW295" s="55"/>
      <c r="BX295" s="55"/>
      <c r="BY295" s="55"/>
    </row>
    <row r="296">
      <c r="I296" s="216"/>
      <c r="J296" s="216"/>
      <c r="K296" s="216"/>
      <c r="AX296" s="55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55"/>
      <c r="BT296" s="55"/>
      <c r="BU296" s="55"/>
      <c r="BV296" s="55"/>
      <c r="BW296" s="55"/>
      <c r="BX296" s="55"/>
      <c r="BY296" s="55"/>
    </row>
    <row r="297">
      <c r="I297" s="216"/>
      <c r="J297" s="216"/>
      <c r="K297" s="216"/>
      <c r="AX297" s="55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55"/>
      <c r="BT297" s="55"/>
      <c r="BU297" s="55"/>
      <c r="BV297" s="55"/>
      <c r="BW297" s="55"/>
      <c r="BX297" s="55"/>
      <c r="BY297" s="55"/>
    </row>
    <row r="298">
      <c r="I298" s="216"/>
      <c r="J298" s="216"/>
      <c r="K298" s="216"/>
      <c r="AX298" s="55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55"/>
      <c r="BT298" s="55"/>
      <c r="BU298" s="55"/>
      <c r="BV298" s="55"/>
      <c r="BW298" s="55"/>
      <c r="BX298" s="55"/>
      <c r="BY298" s="55"/>
    </row>
    <row r="299">
      <c r="I299" s="216"/>
      <c r="J299" s="216"/>
      <c r="K299" s="216"/>
      <c r="AX299" s="55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55"/>
      <c r="BT299" s="55"/>
      <c r="BU299" s="55"/>
      <c r="BV299" s="55"/>
      <c r="BW299" s="55"/>
      <c r="BX299" s="55"/>
      <c r="BY299" s="55"/>
    </row>
    <row r="300">
      <c r="I300" s="216"/>
      <c r="J300" s="216"/>
      <c r="K300" s="216"/>
      <c r="AX300" s="55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55"/>
      <c r="BT300" s="55"/>
      <c r="BU300" s="55"/>
      <c r="BV300" s="55"/>
      <c r="BW300" s="55"/>
      <c r="BX300" s="55"/>
      <c r="BY300" s="55"/>
    </row>
    <row r="301">
      <c r="I301" s="216"/>
      <c r="J301" s="216"/>
      <c r="K301" s="216"/>
      <c r="AX301" s="55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55"/>
      <c r="BT301" s="55"/>
      <c r="BU301" s="55"/>
      <c r="BV301" s="55"/>
      <c r="BW301" s="55"/>
      <c r="BX301" s="55"/>
      <c r="BY301" s="55"/>
    </row>
    <row r="302">
      <c r="I302" s="216"/>
      <c r="J302" s="216"/>
      <c r="K302" s="216"/>
      <c r="AX302" s="55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55"/>
      <c r="BT302" s="55"/>
      <c r="BU302" s="55"/>
      <c r="BV302" s="55"/>
      <c r="BW302" s="55"/>
      <c r="BX302" s="55"/>
      <c r="BY302" s="55"/>
    </row>
    <row r="303">
      <c r="I303" s="216"/>
      <c r="J303" s="216"/>
      <c r="K303" s="216"/>
      <c r="AX303" s="55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55"/>
      <c r="BT303" s="55"/>
      <c r="BU303" s="55"/>
      <c r="BV303" s="55"/>
      <c r="BW303" s="55"/>
      <c r="BX303" s="55"/>
      <c r="BY303" s="55"/>
    </row>
    <row r="304">
      <c r="I304" s="216"/>
      <c r="J304" s="216"/>
      <c r="K304" s="216"/>
      <c r="AX304" s="55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55"/>
      <c r="BT304" s="55"/>
      <c r="BU304" s="55"/>
      <c r="BV304" s="55"/>
      <c r="BW304" s="55"/>
      <c r="BX304" s="55"/>
      <c r="BY304" s="55"/>
    </row>
    <row r="305">
      <c r="I305" s="216"/>
      <c r="J305" s="216"/>
      <c r="K305" s="216"/>
      <c r="AX305" s="55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55"/>
      <c r="BT305" s="55"/>
      <c r="BU305" s="55"/>
      <c r="BV305" s="55"/>
      <c r="BW305" s="55"/>
      <c r="BX305" s="55"/>
      <c r="BY305" s="55"/>
    </row>
    <row r="306">
      <c r="I306" s="216"/>
      <c r="J306" s="216"/>
      <c r="K306" s="216"/>
      <c r="AX306" s="55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55"/>
      <c r="BT306" s="55"/>
      <c r="BU306" s="55"/>
      <c r="BV306" s="55"/>
      <c r="BW306" s="55"/>
      <c r="BX306" s="55"/>
      <c r="BY306" s="55"/>
    </row>
    <row r="307">
      <c r="I307" s="216"/>
      <c r="J307" s="216"/>
      <c r="K307" s="216"/>
      <c r="AX307" s="55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55"/>
      <c r="BT307" s="55"/>
      <c r="BU307" s="55"/>
      <c r="BV307" s="55"/>
      <c r="BW307" s="55"/>
      <c r="BX307" s="55"/>
      <c r="BY307" s="55"/>
    </row>
    <row r="308">
      <c r="I308" s="216"/>
      <c r="J308" s="216"/>
      <c r="K308" s="216"/>
      <c r="AX308" s="55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55"/>
      <c r="BT308" s="55"/>
      <c r="BU308" s="55"/>
      <c r="BV308" s="55"/>
      <c r="BW308" s="55"/>
      <c r="BX308" s="55"/>
      <c r="BY308" s="55"/>
    </row>
    <row r="309">
      <c r="I309" s="216"/>
      <c r="J309" s="216"/>
      <c r="K309" s="216"/>
      <c r="AX309" s="55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55"/>
      <c r="BT309" s="55"/>
      <c r="BU309" s="55"/>
      <c r="BV309" s="55"/>
      <c r="BW309" s="55"/>
      <c r="BX309" s="55"/>
      <c r="BY309" s="55"/>
    </row>
    <row r="310">
      <c r="I310" s="216"/>
      <c r="J310" s="216"/>
      <c r="K310" s="216"/>
      <c r="AX310" s="55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55"/>
      <c r="BT310" s="55"/>
      <c r="BU310" s="55"/>
      <c r="BV310" s="55"/>
      <c r="BW310" s="55"/>
      <c r="BX310" s="55"/>
      <c r="BY310" s="55"/>
    </row>
    <row r="311">
      <c r="I311" s="216"/>
      <c r="J311" s="216"/>
      <c r="K311" s="216"/>
      <c r="AX311" s="55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55"/>
      <c r="BT311" s="55"/>
      <c r="BU311" s="55"/>
      <c r="BV311" s="55"/>
      <c r="BW311" s="55"/>
      <c r="BX311" s="55"/>
      <c r="BY311" s="55"/>
    </row>
    <row r="312">
      <c r="I312" s="216"/>
      <c r="J312" s="216"/>
      <c r="K312" s="216"/>
      <c r="AX312" s="55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55"/>
      <c r="BT312" s="55"/>
      <c r="BU312" s="55"/>
      <c r="BV312" s="55"/>
      <c r="BW312" s="55"/>
      <c r="BX312" s="55"/>
      <c r="BY312" s="55"/>
    </row>
    <row r="313">
      <c r="I313" s="216"/>
      <c r="J313" s="216"/>
      <c r="K313" s="216"/>
      <c r="AX313" s="55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55"/>
      <c r="BT313" s="55"/>
      <c r="BU313" s="55"/>
      <c r="BV313" s="55"/>
      <c r="BW313" s="55"/>
      <c r="BX313" s="55"/>
      <c r="BY313" s="55"/>
    </row>
    <row r="314">
      <c r="I314" s="216"/>
      <c r="J314" s="216"/>
      <c r="K314" s="216"/>
      <c r="AX314" s="55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55"/>
      <c r="BT314" s="55"/>
      <c r="BU314" s="55"/>
      <c r="BV314" s="55"/>
      <c r="BW314" s="55"/>
      <c r="BX314" s="55"/>
      <c r="BY314" s="55"/>
    </row>
    <row r="315">
      <c r="I315" s="216"/>
      <c r="J315" s="216"/>
      <c r="K315" s="216"/>
      <c r="AX315" s="55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55"/>
      <c r="BT315" s="55"/>
      <c r="BU315" s="55"/>
      <c r="BV315" s="55"/>
      <c r="BW315" s="55"/>
      <c r="BX315" s="55"/>
      <c r="BY315" s="55"/>
    </row>
    <row r="316">
      <c r="I316" s="216"/>
      <c r="J316" s="216"/>
      <c r="K316" s="216"/>
      <c r="AX316" s="55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55"/>
      <c r="BT316" s="55"/>
      <c r="BU316" s="55"/>
      <c r="BV316" s="55"/>
      <c r="BW316" s="55"/>
      <c r="BX316" s="55"/>
      <c r="BY316" s="55"/>
    </row>
    <row r="317">
      <c r="I317" s="216"/>
      <c r="J317" s="216"/>
      <c r="K317" s="216"/>
      <c r="AX317" s="55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55"/>
      <c r="BT317" s="55"/>
      <c r="BU317" s="55"/>
      <c r="BV317" s="55"/>
      <c r="BW317" s="55"/>
      <c r="BX317" s="55"/>
      <c r="BY317" s="55"/>
    </row>
    <row r="318">
      <c r="I318" s="216"/>
      <c r="J318" s="216"/>
      <c r="K318" s="216"/>
      <c r="AX318" s="55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55"/>
      <c r="BT318" s="55"/>
      <c r="BU318" s="55"/>
      <c r="BV318" s="55"/>
      <c r="BW318" s="55"/>
      <c r="BX318" s="55"/>
      <c r="BY318" s="55"/>
    </row>
    <row r="319">
      <c r="I319" s="216"/>
      <c r="J319" s="216"/>
      <c r="K319" s="216"/>
      <c r="AX319" s="55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55"/>
      <c r="BT319" s="55"/>
      <c r="BU319" s="55"/>
      <c r="BV319" s="55"/>
      <c r="BW319" s="55"/>
      <c r="BX319" s="55"/>
      <c r="BY319" s="55"/>
    </row>
    <row r="320">
      <c r="I320" s="216"/>
      <c r="J320" s="216"/>
      <c r="K320" s="216"/>
      <c r="AX320" s="55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55"/>
      <c r="BT320" s="55"/>
      <c r="BU320" s="55"/>
      <c r="BV320" s="55"/>
      <c r="BW320" s="55"/>
      <c r="BX320" s="55"/>
      <c r="BY320" s="55"/>
    </row>
    <row r="321">
      <c r="I321" s="216"/>
      <c r="J321" s="216"/>
      <c r="K321" s="216"/>
      <c r="AX321" s="55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55"/>
      <c r="BT321" s="55"/>
      <c r="BU321" s="55"/>
      <c r="BV321" s="55"/>
      <c r="BW321" s="55"/>
      <c r="BX321" s="55"/>
      <c r="BY321" s="55"/>
    </row>
    <row r="322">
      <c r="I322" s="216"/>
      <c r="J322" s="216"/>
      <c r="K322" s="216"/>
      <c r="AX322" s="55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55"/>
      <c r="BT322" s="55"/>
      <c r="BU322" s="55"/>
      <c r="BV322" s="55"/>
      <c r="BW322" s="55"/>
      <c r="BX322" s="55"/>
      <c r="BY322" s="55"/>
    </row>
    <row r="323">
      <c r="I323" s="216"/>
      <c r="J323" s="216"/>
      <c r="K323" s="216"/>
      <c r="AX323" s="55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55"/>
      <c r="BT323" s="55"/>
      <c r="BU323" s="55"/>
      <c r="BV323" s="55"/>
      <c r="BW323" s="55"/>
      <c r="BX323" s="55"/>
      <c r="BY323" s="55"/>
    </row>
    <row r="324">
      <c r="I324" s="216"/>
      <c r="J324" s="216"/>
      <c r="K324" s="216"/>
      <c r="AX324" s="55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55"/>
      <c r="BT324" s="55"/>
      <c r="BU324" s="55"/>
      <c r="BV324" s="55"/>
      <c r="BW324" s="55"/>
      <c r="BX324" s="55"/>
      <c r="BY324" s="55"/>
    </row>
    <row r="325">
      <c r="I325" s="216"/>
      <c r="J325" s="216"/>
      <c r="K325" s="216"/>
      <c r="AX325" s="55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55"/>
      <c r="BT325" s="55"/>
      <c r="BU325" s="55"/>
      <c r="BV325" s="55"/>
      <c r="BW325" s="55"/>
      <c r="BX325" s="55"/>
      <c r="BY325" s="55"/>
    </row>
    <row r="326">
      <c r="I326" s="216"/>
      <c r="J326" s="216"/>
      <c r="K326" s="216"/>
      <c r="AX326" s="55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55"/>
      <c r="BT326" s="55"/>
      <c r="BU326" s="55"/>
      <c r="BV326" s="55"/>
      <c r="BW326" s="55"/>
      <c r="BX326" s="55"/>
      <c r="BY326" s="55"/>
    </row>
    <row r="327">
      <c r="I327" s="216"/>
      <c r="J327" s="216"/>
      <c r="K327" s="216"/>
      <c r="AX327" s="55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55"/>
      <c r="BT327" s="55"/>
      <c r="BU327" s="55"/>
      <c r="BV327" s="55"/>
      <c r="BW327" s="55"/>
      <c r="BX327" s="55"/>
      <c r="BY327" s="55"/>
    </row>
    <row r="328">
      <c r="I328" s="216"/>
      <c r="J328" s="216"/>
      <c r="K328" s="216"/>
      <c r="AX328" s="55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55"/>
      <c r="BT328" s="55"/>
      <c r="BU328" s="55"/>
      <c r="BV328" s="55"/>
      <c r="BW328" s="55"/>
      <c r="BX328" s="55"/>
      <c r="BY328" s="55"/>
    </row>
    <row r="329">
      <c r="I329" s="216"/>
      <c r="J329" s="216"/>
      <c r="K329" s="216"/>
      <c r="AX329" s="55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55"/>
      <c r="BT329" s="55"/>
      <c r="BU329" s="55"/>
      <c r="BV329" s="55"/>
      <c r="BW329" s="55"/>
      <c r="BX329" s="55"/>
      <c r="BY329" s="55"/>
    </row>
    <row r="330">
      <c r="I330" s="216"/>
      <c r="J330" s="216"/>
      <c r="K330" s="216"/>
      <c r="AX330" s="55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55"/>
      <c r="BT330" s="55"/>
      <c r="BU330" s="55"/>
      <c r="BV330" s="55"/>
      <c r="BW330" s="55"/>
      <c r="BX330" s="55"/>
      <c r="BY330" s="55"/>
    </row>
    <row r="331">
      <c r="I331" s="216"/>
      <c r="J331" s="216"/>
      <c r="K331" s="216"/>
      <c r="AX331" s="55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55"/>
      <c r="BT331" s="55"/>
      <c r="BU331" s="55"/>
      <c r="BV331" s="55"/>
      <c r="BW331" s="55"/>
      <c r="BX331" s="55"/>
      <c r="BY331" s="55"/>
    </row>
    <row r="332">
      <c r="I332" s="216"/>
      <c r="J332" s="216"/>
      <c r="K332" s="216"/>
      <c r="AX332" s="55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55"/>
      <c r="BT332" s="55"/>
      <c r="BU332" s="55"/>
      <c r="BV332" s="55"/>
      <c r="BW332" s="55"/>
      <c r="BX332" s="55"/>
      <c r="BY332" s="55"/>
    </row>
    <row r="333">
      <c r="I333" s="216"/>
      <c r="J333" s="216"/>
      <c r="K333" s="216"/>
      <c r="AX333" s="55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55"/>
      <c r="BT333" s="55"/>
      <c r="BU333" s="55"/>
      <c r="BV333" s="55"/>
      <c r="BW333" s="55"/>
      <c r="BX333" s="55"/>
      <c r="BY333" s="55"/>
    </row>
    <row r="334">
      <c r="I334" s="216"/>
      <c r="J334" s="216"/>
      <c r="K334" s="216"/>
      <c r="AX334" s="55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55"/>
      <c r="BT334" s="55"/>
      <c r="BU334" s="55"/>
      <c r="BV334" s="55"/>
      <c r="BW334" s="55"/>
      <c r="BX334" s="55"/>
      <c r="BY334" s="55"/>
    </row>
    <row r="335">
      <c r="I335" s="216"/>
      <c r="J335" s="216"/>
      <c r="K335" s="216"/>
      <c r="AX335" s="55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55"/>
      <c r="BT335" s="55"/>
      <c r="BU335" s="55"/>
      <c r="BV335" s="55"/>
      <c r="BW335" s="55"/>
      <c r="BX335" s="55"/>
      <c r="BY335" s="55"/>
    </row>
    <row r="336">
      <c r="I336" s="216"/>
      <c r="J336" s="216"/>
      <c r="K336" s="216"/>
      <c r="AX336" s="55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55"/>
      <c r="BT336" s="55"/>
      <c r="BU336" s="55"/>
      <c r="BV336" s="55"/>
      <c r="BW336" s="55"/>
      <c r="BX336" s="55"/>
      <c r="BY336" s="55"/>
    </row>
    <row r="337">
      <c r="I337" s="216"/>
      <c r="J337" s="216"/>
      <c r="K337" s="216"/>
      <c r="AX337" s="55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55"/>
      <c r="BT337" s="55"/>
      <c r="BU337" s="55"/>
      <c r="BV337" s="55"/>
      <c r="BW337" s="55"/>
      <c r="BX337" s="55"/>
      <c r="BY337" s="55"/>
    </row>
    <row r="338">
      <c r="I338" s="216"/>
      <c r="J338" s="216"/>
      <c r="K338" s="216"/>
      <c r="AX338" s="55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55"/>
      <c r="BT338" s="55"/>
      <c r="BU338" s="55"/>
      <c r="BV338" s="55"/>
      <c r="BW338" s="55"/>
      <c r="BX338" s="55"/>
      <c r="BY338" s="55"/>
    </row>
    <row r="339">
      <c r="I339" s="216"/>
      <c r="J339" s="216"/>
      <c r="K339" s="216"/>
      <c r="AX339" s="55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55"/>
      <c r="BT339" s="55"/>
      <c r="BU339" s="55"/>
      <c r="BV339" s="55"/>
      <c r="BW339" s="55"/>
      <c r="BX339" s="55"/>
      <c r="BY339" s="55"/>
    </row>
    <row r="340">
      <c r="I340" s="216"/>
      <c r="J340" s="216"/>
      <c r="K340" s="216"/>
      <c r="AX340" s="55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55"/>
      <c r="BT340" s="55"/>
      <c r="BU340" s="55"/>
      <c r="BV340" s="55"/>
      <c r="BW340" s="55"/>
      <c r="BX340" s="55"/>
      <c r="BY340" s="55"/>
    </row>
    <row r="341">
      <c r="I341" s="216"/>
      <c r="J341" s="216"/>
      <c r="K341" s="216"/>
      <c r="AX341" s="55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55"/>
      <c r="BT341" s="55"/>
      <c r="BU341" s="55"/>
      <c r="BV341" s="55"/>
      <c r="BW341" s="55"/>
      <c r="BX341" s="55"/>
      <c r="BY341" s="55"/>
    </row>
    <row r="342">
      <c r="I342" s="216"/>
      <c r="J342" s="216"/>
      <c r="K342" s="216"/>
      <c r="AX342" s="55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55"/>
      <c r="BT342" s="55"/>
      <c r="BU342" s="55"/>
      <c r="BV342" s="55"/>
      <c r="BW342" s="55"/>
      <c r="BX342" s="55"/>
      <c r="BY342" s="55"/>
    </row>
    <row r="343">
      <c r="I343" s="216"/>
      <c r="J343" s="216"/>
      <c r="K343" s="216"/>
      <c r="AX343" s="55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55"/>
      <c r="BT343" s="55"/>
      <c r="BU343" s="55"/>
      <c r="BV343" s="55"/>
      <c r="BW343" s="55"/>
      <c r="BX343" s="55"/>
      <c r="BY343" s="55"/>
    </row>
    <row r="344">
      <c r="I344" s="216"/>
      <c r="J344" s="216"/>
      <c r="K344" s="216"/>
      <c r="AX344" s="55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55"/>
      <c r="BT344" s="55"/>
      <c r="BU344" s="55"/>
      <c r="BV344" s="55"/>
      <c r="BW344" s="55"/>
      <c r="BX344" s="55"/>
      <c r="BY344" s="55"/>
    </row>
    <row r="345">
      <c r="I345" s="216"/>
      <c r="J345" s="216"/>
      <c r="K345" s="216"/>
      <c r="AX345" s="55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55"/>
      <c r="BT345" s="55"/>
      <c r="BU345" s="55"/>
      <c r="BV345" s="55"/>
      <c r="BW345" s="55"/>
      <c r="BX345" s="55"/>
      <c r="BY345" s="55"/>
    </row>
    <row r="346">
      <c r="I346" s="216"/>
      <c r="J346" s="216"/>
      <c r="K346" s="216"/>
      <c r="AX346" s="55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55"/>
      <c r="BT346" s="55"/>
      <c r="BU346" s="55"/>
      <c r="BV346" s="55"/>
      <c r="BW346" s="55"/>
      <c r="BX346" s="55"/>
      <c r="BY346" s="55"/>
    </row>
    <row r="347">
      <c r="I347" s="216"/>
      <c r="J347" s="216"/>
      <c r="K347" s="216"/>
      <c r="AX347" s="55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55"/>
      <c r="BT347" s="55"/>
      <c r="BU347" s="55"/>
      <c r="BV347" s="55"/>
      <c r="BW347" s="55"/>
      <c r="BX347" s="55"/>
      <c r="BY347" s="55"/>
    </row>
    <row r="348">
      <c r="I348" s="216"/>
      <c r="J348" s="216"/>
      <c r="K348" s="216"/>
      <c r="AX348" s="55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55"/>
      <c r="BT348" s="55"/>
      <c r="BU348" s="55"/>
      <c r="BV348" s="55"/>
      <c r="BW348" s="55"/>
      <c r="BX348" s="55"/>
      <c r="BY348" s="55"/>
    </row>
    <row r="349">
      <c r="I349" s="216"/>
      <c r="J349" s="216"/>
      <c r="K349" s="216"/>
      <c r="AX349" s="55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55"/>
      <c r="BT349" s="55"/>
      <c r="BU349" s="55"/>
      <c r="BV349" s="55"/>
      <c r="BW349" s="55"/>
      <c r="BX349" s="55"/>
      <c r="BY349" s="55"/>
    </row>
    <row r="350">
      <c r="I350" s="216"/>
      <c r="J350" s="216"/>
      <c r="K350" s="216"/>
      <c r="AX350" s="55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55"/>
      <c r="BT350" s="55"/>
      <c r="BU350" s="55"/>
      <c r="BV350" s="55"/>
      <c r="BW350" s="55"/>
      <c r="BX350" s="55"/>
      <c r="BY350" s="55"/>
    </row>
    <row r="351">
      <c r="I351" s="216"/>
      <c r="J351" s="216"/>
      <c r="K351" s="216"/>
      <c r="AX351" s="55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55"/>
      <c r="BT351" s="55"/>
      <c r="BU351" s="55"/>
      <c r="BV351" s="55"/>
      <c r="BW351" s="55"/>
      <c r="BX351" s="55"/>
      <c r="BY351" s="55"/>
    </row>
    <row r="352">
      <c r="I352" s="216"/>
      <c r="J352" s="216"/>
      <c r="K352" s="216"/>
      <c r="AX352" s="55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55"/>
      <c r="BT352" s="55"/>
      <c r="BU352" s="55"/>
      <c r="BV352" s="55"/>
      <c r="BW352" s="55"/>
      <c r="BX352" s="55"/>
      <c r="BY352" s="55"/>
    </row>
    <row r="353">
      <c r="I353" s="216"/>
      <c r="J353" s="216"/>
      <c r="K353" s="216"/>
      <c r="AX353" s="55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55"/>
      <c r="BT353" s="55"/>
      <c r="BU353" s="55"/>
      <c r="BV353" s="55"/>
      <c r="BW353" s="55"/>
      <c r="BX353" s="55"/>
      <c r="BY353" s="55"/>
    </row>
    <row r="354">
      <c r="I354" s="216"/>
      <c r="J354" s="216"/>
      <c r="K354" s="216"/>
      <c r="AX354" s="55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55"/>
      <c r="BT354" s="55"/>
      <c r="BU354" s="55"/>
      <c r="BV354" s="55"/>
      <c r="BW354" s="55"/>
      <c r="BX354" s="55"/>
      <c r="BY354" s="55"/>
    </row>
    <row r="355">
      <c r="I355" s="216"/>
      <c r="J355" s="216"/>
      <c r="K355" s="216"/>
      <c r="AX355" s="55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55"/>
      <c r="BT355" s="55"/>
      <c r="BU355" s="55"/>
      <c r="BV355" s="55"/>
      <c r="BW355" s="55"/>
      <c r="BX355" s="55"/>
      <c r="BY355" s="55"/>
    </row>
    <row r="356">
      <c r="I356" s="216"/>
      <c r="J356" s="216"/>
      <c r="K356" s="216"/>
      <c r="AX356" s="55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55"/>
      <c r="BT356" s="55"/>
      <c r="BU356" s="55"/>
      <c r="BV356" s="55"/>
      <c r="BW356" s="55"/>
      <c r="BX356" s="55"/>
      <c r="BY356" s="55"/>
    </row>
    <row r="357">
      <c r="I357" s="216"/>
      <c r="J357" s="216"/>
      <c r="K357" s="216"/>
      <c r="AX357" s="55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55"/>
      <c r="BT357" s="55"/>
      <c r="BU357" s="55"/>
      <c r="BV357" s="55"/>
      <c r="BW357" s="55"/>
      <c r="BX357" s="55"/>
      <c r="BY357" s="55"/>
    </row>
    <row r="358">
      <c r="I358" s="216"/>
      <c r="J358" s="216"/>
      <c r="K358" s="216"/>
      <c r="AX358" s="55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55"/>
      <c r="BT358" s="55"/>
      <c r="BU358" s="55"/>
      <c r="BV358" s="55"/>
      <c r="BW358" s="55"/>
      <c r="BX358" s="55"/>
      <c r="BY358" s="55"/>
    </row>
    <row r="359">
      <c r="I359" s="216"/>
      <c r="J359" s="216"/>
      <c r="K359" s="216"/>
      <c r="AX359" s="55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55"/>
      <c r="BT359" s="55"/>
      <c r="BU359" s="55"/>
      <c r="BV359" s="55"/>
      <c r="BW359" s="55"/>
      <c r="BX359" s="55"/>
      <c r="BY359" s="55"/>
    </row>
    <row r="360">
      <c r="I360" s="216"/>
      <c r="J360" s="216"/>
      <c r="K360" s="216"/>
      <c r="AX360" s="55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55"/>
      <c r="BT360" s="55"/>
      <c r="BU360" s="55"/>
      <c r="BV360" s="55"/>
      <c r="BW360" s="55"/>
      <c r="BX360" s="55"/>
      <c r="BY360" s="55"/>
    </row>
    <row r="361">
      <c r="I361" s="216"/>
      <c r="J361" s="216"/>
      <c r="K361" s="216"/>
      <c r="AX361" s="55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55"/>
      <c r="BT361" s="55"/>
      <c r="BU361" s="55"/>
      <c r="BV361" s="55"/>
      <c r="BW361" s="55"/>
      <c r="BX361" s="55"/>
      <c r="BY361" s="55"/>
    </row>
    <row r="362">
      <c r="I362" s="216"/>
      <c r="J362" s="216"/>
      <c r="K362" s="216"/>
      <c r="AX362" s="55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55"/>
      <c r="BT362" s="55"/>
      <c r="BU362" s="55"/>
      <c r="BV362" s="55"/>
      <c r="BW362" s="55"/>
      <c r="BX362" s="55"/>
      <c r="BY362" s="55"/>
    </row>
    <row r="363">
      <c r="I363" s="216"/>
      <c r="J363" s="216"/>
      <c r="K363" s="216"/>
      <c r="AX363" s="55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55"/>
      <c r="BT363" s="55"/>
      <c r="BU363" s="55"/>
      <c r="BV363" s="55"/>
      <c r="BW363" s="55"/>
      <c r="BX363" s="55"/>
      <c r="BY363" s="55"/>
    </row>
    <row r="364">
      <c r="I364" s="216"/>
      <c r="J364" s="216"/>
      <c r="K364" s="216"/>
      <c r="AX364" s="55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55"/>
      <c r="BT364" s="55"/>
      <c r="BU364" s="55"/>
      <c r="BV364" s="55"/>
      <c r="BW364" s="55"/>
      <c r="BX364" s="55"/>
      <c r="BY364" s="55"/>
    </row>
    <row r="365">
      <c r="I365" s="216"/>
      <c r="J365" s="216"/>
      <c r="K365" s="216"/>
      <c r="AX365" s="55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55"/>
      <c r="BT365" s="55"/>
      <c r="BU365" s="55"/>
      <c r="BV365" s="55"/>
      <c r="BW365" s="55"/>
      <c r="BX365" s="55"/>
      <c r="BY365" s="55"/>
    </row>
    <row r="366">
      <c r="I366" s="216"/>
      <c r="J366" s="216"/>
      <c r="K366" s="216"/>
      <c r="AX366" s="55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55"/>
      <c r="BT366" s="55"/>
      <c r="BU366" s="55"/>
      <c r="BV366" s="55"/>
      <c r="BW366" s="55"/>
      <c r="BX366" s="55"/>
      <c r="BY366" s="55"/>
    </row>
    <row r="367">
      <c r="I367" s="216"/>
      <c r="J367" s="216"/>
      <c r="K367" s="216"/>
      <c r="AX367" s="55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55"/>
      <c r="BT367" s="55"/>
      <c r="BU367" s="55"/>
      <c r="BV367" s="55"/>
      <c r="BW367" s="55"/>
      <c r="BX367" s="55"/>
      <c r="BY367" s="55"/>
    </row>
    <row r="368">
      <c r="I368" s="216"/>
      <c r="J368" s="216"/>
      <c r="K368" s="216"/>
      <c r="AX368" s="55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55"/>
      <c r="BT368" s="55"/>
      <c r="BU368" s="55"/>
      <c r="BV368" s="55"/>
      <c r="BW368" s="55"/>
      <c r="BX368" s="55"/>
      <c r="BY368" s="55"/>
    </row>
    <row r="369">
      <c r="I369" s="216"/>
      <c r="J369" s="216"/>
      <c r="K369" s="216"/>
      <c r="AX369" s="55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55"/>
      <c r="BT369" s="55"/>
      <c r="BU369" s="55"/>
      <c r="BV369" s="55"/>
      <c r="BW369" s="55"/>
      <c r="BX369" s="55"/>
      <c r="BY369" s="55"/>
    </row>
    <row r="370">
      <c r="I370" s="216"/>
      <c r="J370" s="216"/>
      <c r="K370" s="216"/>
      <c r="AX370" s="55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55"/>
      <c r="BT370" s="55"/>
      <c r="BU370" s="55"/>
      <c r="BV370" s="55"/>
      <c r="BW370" s="55"/>
      <c r="BX370" s="55"/>
      <c r="BY370" s="55"/>
    </row>
    <row r="371">
      <c r="I371" s="216"/>
      <c r="J371" s="216"/>
      <c r="K371" s="216"/>
      <c r="AX371" s="55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55"/>
      <c r="BT371" s="55"/>
      <c r="BU371" s="55"/>
      <c r="BV371" s="55"/>
      <c r="BW371" s="55"/>
      <c r="BX371" s="55"/>
      <c r="BY371" s="55"/>
    </row>
    <row r="372">
      <c r="I372" s="216"/>
      <c r="J372" s="216"/>
      <c r="K372" s="216"/>
      <c r="AX372" s="55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55"/>
      <c r="BT372" s="55"/>
      <c r="BU372" s="55"/>
      <c r="BV372" s="55"/>
      <c r="BW372" s="55"/>
      <c r="BX372" s="55"/>
      <c r="BY372" s="55"/>
    </row>
    <row r="373">
      <c r="I373" s="216"/>
      <c r="J373" s="216"/>
      <c r="K373" s="216"/>
      <c r="AX373" s="55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55"/>
      <c r="BT373" s="55"/>
      <c r="BU373" s="55"/>
      <c r="BV373" s="55"/>
      <c r="BW373" s="55"/>
      <c r="BX373" s="55"/>
      <c r="BY373" s="55"/>
    </row>
    <row r="374">
      <c r="I374" s="216"/>
      <c r="J374" s="216"/>
      <c r="K374" s="216"/>
      <c r="AX374" s="55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55"/>
      <c r="BT374" s="55"/>
      <c r="BU374" s="55"/>
      <c r="BV374" s="55"/>
      <c r="BW374" s="55"/>
      <c r="BX374" s="55"/>
      <c r="BY374" s="55"/>
    </row>
    <row r="375">
      <c r="I375" s="216"/>
      <c r="J375" s="216"/>
      <c r="K375" s="216"/>
      <c r="AX375" s="55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55"/>
      <c r="BT375" s="55"/>
      <c r="BU375" s="55"/>
      <c r="BV375" s="55"/>
      <c r="BW375" s="55"/>
      <c r="BX375" s="55"/>
      <c r="BY375" s="55"/>
    </row>
    <row r="376">
      <c r="I376" s="216"/>
      <c r="J376" s="216"/>
      <c r="K376" s="216"/>
      <c r="AX376" s="55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55"/>
      <c r="BT376" s="55"/>
      <c r="BU376" s="55"/>
      <c r="BV376" s="55"/>
      <c r="BW376" s="55"/>
      <c r="BX376" s="55"/>
      <c r="BY376" s="55"/>
    </row>
    <row r="377">
      <c r="I377" s="216"/>
      <c r="J377" s="216"/>
      <c r="K377" s="216"/>
      <c r="AX377" s="55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55"/>
      <c r="BT377" s="55"/>
      <c r="BU377" s="55"/>
      <c r="BV377" s="55"/>
      <c r="BW377" s="55"/>
      <c r="BX377" s="55"/>
      <c r="BY377" s="55"/>
    </row>
    <row r="378">
      <c r="I378" s="216"/>
      <c r="J378" s="216"/>
      <c r="K378" s="216"/>
      <c r="AX378" s="55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55"/>
      <c r="BT378" s="55"/>
      <c r="BU378" s="55"/>
      <c r="BV378" s="55"/>
      <c r="BW378" s="55"/>
      <c r="BX378" s="55"/>
      <c r="BY378" s="55"/>
    </row>
    <row r="379">
      <c r="I379" s="216"/>
      <c r="J379" s="216"/>
      <c r="K379" s="216"/>
      <c r="AX379" s="55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55"/>
      <c r="BT379" s="55"/>
      <c r="BU379" s="55"/>
      <c r="BV379" s="55"/>
      <c r="BW379" s="55"/>
      <c r="BX379" s="55"/>
      <c r="BY379" s="55"/>
    </row>
    <row r="380">
      <c r="I380" s="216"/>
      <c r="J380" s="216"/>
      <c r="K380" s="216"/>
      <c r="AX380" s="55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55"/>
      <c r="BT380" s="55"/>
      <c r="BU380" s="55"/>
      <c r="BV380" s="55"/>
      <c r="BW380" s="55"/>
      <c r="BX380" s="55"/>
      <c r="BY380" s="55"/>
    </row>
    <row r="381">
      <c r="I381" s="216"/>
      <c r="J381" s="216"/>
      <c r="K381" s="216"/>
      <c r="AX381" s="55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55"/>
      <c r="BT381" s="55"/>
      <c r="BU381" s="55"/>
      <c r="BV381" s="55"/>
      <c r="BW381" s="55"/>
      <c r="BX381" s="55"/>
      <c r="BY381" s="55"/>
    </row>
    <row r="382">
      <c r="I382" s="216"/>
      <c r="J382" s="216"/>
      <c r="K382" s="216"/>
      <c r="AX382" s="55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55"/>
      <c r="BT382" s="55"/>
      <c r="BU382" s="55"/>
      <c r="BV382" s="55"/>
      <c r="BW382" s="55"/>
      <c r="BX382" s="55"/>
      <c r="BY382" s="55"/>
    </row>
    <row r="383">
      <c r="I383" s="216"/>
      <c r="J383" s="216"/>
      <c r="K383" s="216"/>
      <c r="AX383" s="55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55"/>
      <c r="BT383" s="55"/>
      <c r="BU383" s="55"/>
      <c r="BV383" s="55"/>
      <c r="BW383" s="55"/>
      <c r="BX383" s="55"/>
      <c r="BY383" s="55"/>
    </row>
    <row r="384">
      <c r="I384" s="216"/>
      <c r="J384" s="216"/>
      <c r="K384" s="216"/>
      <c r="AX384" s="55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55"/>
      <c r="BT384" s="55"/>
      <c r="BU384" s="55"/>
      <c r="BV384" s="55"/>
      <c r="BW384" s="55"/>
      <c r="BX384" s="55"/>
      <c r="BY384" s="55"/>
    </row>
    <row r="385">
      <c r="I385" s="216"/>
      <c r="J385" s="216"/>
      <c r="K385" s="216"/>
      <c r="AX385" s="55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55"/>
      <c r="BT385" s="55"/>
      <c r="BU385" s="55"/>
      <c r="BV385" s="55"/>
      <c r="BW385" s="55"/>
      <c r="BX385" s="55"/>
      <c r="BY385" s="55"/>
    </row>
    <row r="386">
      <c r="I386" s="216"/>
      <c r="J386" s="216"/>
      <c r="K386" s="216"/>
      <c r="AX386" s="55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55"/>
      <c r="BT386" s="55"/>
      <c r="BU386" s="55"/>
      <c r="BV386" s="55"/>
      <c r="BW386" s="55"/>
      <c r="BX386" s="55"/>
      <c r="BY386" s="55"/>
    </row>
    <row r="387">
      <c r="I387" s="216"/>
      <c r="J387" s="216"/>
      <c r="K387" s="216"/>
      <c r="AX387" s="55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55"/>
      <c r="BT387" s="55"/>
      <c r="BU387" s="55"/>
      <c r="BV387" s="55"/>
      <c r="BW387" s="55"/>
      <c r="BX387" s="55"/>
      <c r="BY387" s="55"/>
    </row>
    <row r="388">
      <c r="I388" s="216"/>
      <c r="J388" s="216"/>
      <c r="K388" s="216"/>
      <c r="AX388" s="55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55"/>
      <c r="BT388" s="55"/>
      <c r="BU388" s="55"/>
      <c r="BV388" s="55"/>
      <c r="BW388" s="55"/>
      <c r="BX388" s="55"/>
      <c r="BY388" s="55"/>
    </row>
    <row r="389">
      <c r="I389" s="216"/>
      <c r="J389" s="216"/>
      <c r="K389" s="216"/>
      <c r="AX389" s="55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55"/>
      <c r="BT389" s="55"/>
      <c r="BU389" s="55"/>
      <c r="BV389" s="55"/>
      <c r="BW389" s="55"/>
      <c r="BX389" s="55"/>
      <c r="BY389" s="55"/>
    </row>
    <row r="390">
      <c r="I390" s="216"/>
      <c r="J390" s="216"/>
      <c r="K390" s="216"/>
      <c r="AX390" s="55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55"/>
      <c r="BT390" s="55"/>
      <c r="BU390" s="55"/>
      <c r="BV390" s="55"/>
      <c r="BW390" s="55"/>
      <c r="BX390" s="55"/>
      <c r="BY390" s="55"/>
    </row>
    <row r="391">
      <c r="I391" s="216"/>
      <c r="J391" s="216"/>
      <c r="K391" s="216"/>
      <c r="AX391" s="55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55"/>
      <c r="BT391" s="55"/>
      <c r="BU391" s="55"/>
      <c r="BV391" s="55"/>
      <c r="BW391" s="55"/>
      <c r="BX391" s="55"/>
      <c r="BY391" s="55"/>
    </row>
    <row r="392">
      <c r="I392" s="216"/>
      <c r="J392" s="216"/>
      <c r="K392" s="216"/>
      <c r="AX392" s="55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55"/>
      <c r="BT392" s="55"/>
      <c r="BU392" s="55"/>
      <c r="BV392" s="55"/>
      <c r="BW392" s="55"/>
      <c r="BX392" s="55"/>
      <c r="BY392" s="55"/>
    </row>
    <row r="393">
      <c r="I393" s="216"/>
      <c r="J393" s="216"/>
      <c r="K393" s="216"/>
      <c r="AX393" s="55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55"/>
      <c r="BT393" s="55"/>
      <c r="BU393" s="55"/>
      <c r="BV393" s="55"/>
      <c r="BW393" s="55"/>
      <c r="BX393" s="55"/>
      <c r="BY393" s="55"/>
    </row>
    <row r="394">
      <c r="I394" s="216"/>
      <c r="J394" s="216"/>
      <c r="K394" s="216"/>
      <c r="AX394" s="55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55"/>
      <c r="BT394" s="55"/>
      <c r="BU394" s="55"/>
      <c r="BV394" s="55"/>
      <c r="BW394" s="55"/>
      <c r="BX394" s="55"/>
      <c r="BY394" s="55"/>
    </row>
    <row r="395">
      <c r="I395" s="216"/>
      <c r="J395" s="216"/>
      <c r="K395" s="216"/>
      <c r="AX395" s="55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55"/>
      <c r="BT395" s="55"/>
      <c r="BU395" s="55"/>
      <c r="BV395" s="55"/>
      <c r="BW395" s="55"/>
      <c r="BX395" s="55"/>
      <c r="BY395" s="55"/>
    </row>
    <row r="396">
      <c r="I396" s="216"/>
      <c r="J396" s="216"/>
      <c r="K396" s="216"/>
      <c r="AX396" s="55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55"/>
      <c r="BT396" s="55"/>
      <c r="BU396" s="55"/>
      <c r="BV396" s="55"/>
      <c r="BW396" s="55"/>
      <c r="BX396" s="55"/>
      <c r="BY396" s="55"/>
    </row>
    <row r="397">
      <c r="I397" s="216"/>
      <c r="J397" s="216"/>
      <c r="K397" s="216"/>
      <c r="AX397" s="55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55"/>
      <c r="BT397" s="55"/>
      <c r="BU397" s="55"/>
      <c r="BV397" s="55"/>
      <c r="BW397" s="55"/>
      <c r="BX397" s="55"/>
      <c r="BY397" s="55"/>
    </row>
    <row r="398">
      <c r="I398" s="216"/>
      <c r="J398" s="216"/>
      <c r="K398" s="216"/>
      <c r="AX398" s="55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55"/>
      <c r="BT398" s="55"/>
      <c r="BU398" s="55"/>
      <c r="BV398" s="55"/>
      <c r="BW398" s="55"/>
      <c r="BX398" s="55"/>
      <c r="BY398" s="55"/>
    </row>
    <row r="399">
      <c r="I399" s="216"/>
      <c r="J399" s="216"/>
      <c r="K399" s="216"/>
      <c r="AX399" s="55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55"/>
      <c r="BT399" s="55"/>
      <c r="BU399" s="55"/>
      <c r="BV399" s="55"/>
      <c r="BW399" s="55"/>
      <c r="BX399" s="55"/>
      <c r="BY399" s="55"/>
    </row>
    <row r="400">
      <c r="I400" s="216"/>
      <c r="J400" s="216"/>
      <c r="K400" s="216"/>
      <c r="AX400" s="55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55"/>
      <c r="BT400" s="55"/>
      <c r="BU400" s="55"/>
      <c r="BV400" s="55"/>
      <c r="BW400" s="55"/>
      <c r="BX400" s="55"/>
      <c r="BY400" s="55"/>
    </row>
    <row r="401">
      <c r="I401" s="216"/>
      <c r="J401" s="216"/>
      <c r="K401" s="216"/>
      <c r="AX401" s="55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55"/>
      <c r="BT401" s="55"/>
      <c r="BU401" s="55"/>
      <c r="BV401" s="55"/>
      <c r="BW401" s="55"/>
      <c r="BX401" s="55"/>
      <c r="BY401" s="55"/>
    </row>
    <row r="402">
      <c r="I402" s="216"/>
      <c r="J402" s="216"/>
      <c r="K402" s="216"/>
      <c r="AX402" s="55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55"/>
      <c r="BT402" s="55"/>
      <c r="BU402" s="55"/>
      <c r="BV402" s="55"/>
      <c r="BW402" s="55"/>
      <c r="BX402" s="55"/>
      <c r="BY402" s="55"/>
    </row>
    <row r="403">
      <c r="I403" s="216"/>
      <c r="J403" s="216"/>
      <c r="K403" s="216"/>
      <c r="AX403" s="55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55"/>
      <c r="BT403" s="55"/>
      <c r="BU403" s="55"/>
      <c r="BV403" s="55"/>
      <c r="BW403" s="55"/>
      <c r="BX403" s="55"/>
      <c r="BY403" s="55"/>
    </row>
    <row r="404">
      <c r="I404" s="216"/>
      <c r="J404" s="216"/>
      <c r="K404" s="216"/>
      <c r="AX404" s="55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55"/>
      <c r="BT404" s="55"/>
      <c r="BU404" s="55"/>
      <c r="BV404" s="55"/>
      <c r="BW404" s="55"/>
      <c r="BX404" s="55"/>
      <c r="BY404" s="55"/>
    </row>
    <row r="405">
      <c r="I405" s="216"/>
      <c r="J405" s="216"/>
      <c r="K405" s="216"/>
      <c r="AX405" s="55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55"/>
      <c r="BT405" s="55"/>
      <c r="BU405" s="55"/>
      <c r="BV405" s="55"/>
      <c r="BW405" s="55"/>
      <c r="BX405" s="55"/>
      <c r="BY405" s="55"/>
    </row>
    <row r="406">
      <c r="I406" s="216"/>
      <c r="J406" s="216"/>
      <c r="K406" s="216"/>
      <c r="AX406" s="55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55"/>
      <c r="BT406" s="55"/>
      <c r="BU406" s="55"/>
      <c r="BV406" s="55"/>
      <c r="BW406" s="55"/>
      <c r="BX406" s="55"/>
      <c r="BY406" s="55"/>
    </row>
    <row r="407">
      <c r="I407" s="216"/>
      <c r="J407" s="216"/>
      <c r="K407" s="216"/>
      <c r="AX407" s="55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55"/>
      <c r="BT407" s="55"/>
      <c r="BU407" s="55"/>
      <c r="BV407" s="55"/>
      <c r="BW407" s="55"/>
      <c r="BX407" s="55"/>
      <c r="BY407" s="55"/>
    </row>
    <row r="408">
      <c r="I408" s="216"/>
      <c r="J408" s="216"/>
      <c r="K408" s="216"/>
      <c r="AX408" s="55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55"/>
      <c r="BT408" s="55"/>
      <c r="BU408" s="55"/>
      <c r="BV408" s="55"/>
      <c r="BW408" s="55"/>
      <c r="BX408" s="55"/>
      <c r="BY408" s="55"/>
    </row>
    <row r="409">
      <c r="I409" s="216"/>
      <c r="J409" s="216"/>
      <c r="K409" s="216"/>
      <c r="AX409" s="55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55"/>
      <c r="BT409" s="55"/>
      <c r="BU409" s="55"/>
      <c r="BV409" s="55"/>
      <c r="BW409" s="55"/>
      <c r="BX409" s="55"/>
      <c r="BY409" s="55"/>
    </row>
    <row r="410">
      <c r="I410" s="216"/>
      <c r="J410" s="216"/>
      <c r="K410" s="216"/>
      <c r="AX410" s="55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55"/>
      <c r="BT410" s="55"/>
      <c r="BU410" s="55"/>
      <c r="BV410" s="55"/>
      <c r="BW410" s="55"/>
      <c r="BX410" s="55"/>
      <c r="BY410" s="55"/>
    </row>
    <row r="411">
      <c r="I411" s="216"/>
      <c r="J411" s="216"/>
      <c r="K411" s="216"/>
      <c r="AX411" s="55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55"/>
      <c r="BT411" s="55"/>
      <c r="BU411" s="55"/>
      <c r="BV411" s="55"/>
      <c r="BW411" s="55"/>
      <c r="BX411" s="55"/>
      <c r="BY411" s="55"/>
    </row>
    <row r="412">
      <c r="I412" s="216"/>
      <c r="J412" s="216"/>
      <c r="K412" s="216"/>
      <c r="AX412" s="55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55"/>
      <c r="BT412" s="55"/>
      <c r="BU412" s="55"/>
      <c r="BV412" s="55"/>
      <c r="BW412" s="55"/>
      <c r="BX412" s="55"/>
      <c r="BY412" s="55"/>
    </row>
    <row r="413">
      <c r="I413" s="216"/>
      <c r="J413" s="216"/>
      <c r="K413" s="216"/>
      <c r="AX413" s="55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55"/>
      <c r="BT413" s="55"/>
      <c r="BU413" s="55"/>
      <c r="BV413" s="55"/>
      <c r="BW413" s="55"/>
      <c r="BX413" s="55"/>
      <c r="BY413" s="55"/>
    </row>
    <row r="414">
      <c r="I414" s="216"/>
      <c r="J414" s="216"/>
      <c r="K414" s="216"/>
      <c r="AX414" s="55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55"/>
      <c r="BT414" s="55"/>
      <c r="BU414" s="55"/>
      <c r="BV414" s="55"/>
      <c r="BW414" s="55"/>
      <c r="BX414" s="55"/>
      <c r="BY414" s="55"/>
    </row>
    <row r="415">
      <c r="I415" s="216"/>
      <c r="J415" s="216"/>
      <c r="K415" s="216"/>
      <c r="AX415" s="55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55"/>
      <c r="BT415" s="55"/>
      <c r="BU415" s="55"/>
      <c r="BV415" s="55"/>
      <c r="BW415" s="55"/>
      <c r="BX415" s="55"/>
      <c r="BY415" s="55"/>
    </row>
    <row r="416">
      <c r="I416" s="216"/>
      <c r="J416" s="216"/>
      <c r="K416" s="216"/>
      <c r="AX416" s="55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55"/>
      <c r="BT416" s="55"/>
      <c r="BU416" s="55"/>
      <c r="BV416" s="55"/>
      <c r="BW416" s="55"/>
      <c r="BX416" s="55"/>
      <c r="BY416" s="55"/>
    </row>
    <row r="417">
      <c r="I417" s="216"/>
      <c r="J417" s="216"/>
      <c r="K417" s="216"/>
      <c r="AX417" s="55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55"/>
      <c r="BT417" s="55"/>
      <c r="BU417" s="55"/>
      <c r="BV417" s="55"/>
      <c r="BW417" s="55"/>
      <c r="BX417" s="55"/>
      <c r="BY417" s="55"/>
    </row>
    <row r="418">
      <c r="I418" s="216"/>
      <c r="J418" s="216"/>
      <c r="K418" s="216"/>
      <c r="AX418" s="55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55"/>
      <c r="BT418" s="55"/>
      <c r="BU418" s="55"/>
      <c r="BV418" s="55"/>
      <c r="BW418" s="55"/>
      <c r="BX418" s="55"/>
      <c r="BY418" s="55"/>
    </row>
    <row r="419">
      <c r="I419" s="216"/>
      <c r="J419" s="216"/>
      <c r="K419" s="216"/>
      <c r="AX419" s="55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55"/>
      <c r="BT419" s="55"/>
      <c r="BU419" s="55"/>
      <c r="BV419" s="55"/>
      <c r="BW419" s="55"/>
      <c r="BX419" s="55"/>
      <c r="BY419" s="55"/>
    </row>
    <row r="420">
      <c r="I420" s="216"/>
      <c r="J420" s="216"/>
      <c r="K420" s="216"/>
      <c r="AX420" s="55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55"/>
      <c r="BT420" s="55"/>
      <c r="BU420" s="55"/>
      <c r="BV420" s="55"/>
      <c r="BW420" s="55"/>
      <c r="BX420" s="55"/>
      <c r="BY420" s="55"/>
    </row>
    <row r="421">
      <c r="I421" s="216"/>
      <c r="J421" s="216"/>
      <c r="K421" s="216"/>
      <c r="AX421" s="55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55"/>
      <c r="BT421" s="55"/>
      <c r="BU421" s="55"/>
      <c r="BV421" s="55"/>
      <c r="BW421" s="55"/>
      <c r="BX421" s="55"/>
      <c r="BY421" s="55"/>
    </row>
    <row r="422">
      <c r="I422" s="216"/>
      <c r="J422" s="216"/>
      <c r="K422" s="216"/>
      <c r="AX422" s="55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55"/>
      <c r="BT422" s="55"/>
      <c r="BU422" s="55"/>
      <c r="BV422" s="55"/>
      <c r="BW422" s="55"/>
      <c r="BX422" s="55"/>
      <c r="BY422" s="55"/>
    </row>
    <row r="423">
      <c r="I423" s="216"/>
      <c r="J423" s="216"/>
      <c r="K423" s="216"/>
      <c r="AX423" s="55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55"/>
      <c r="BT423" s="55"/>
      <c r="BU423" s="55"/>
      <c r="BV423" s="55"/>
      <c r="BW423" s="55"/>
      <c r="BX423" s="55"/>
      <c r="BY423" s="55"/>
    </row>
    <row r="424">
      <c r="I424" s="216"/>
      <c r="J424" s="216"/>
      <c r="K424" s="216"/>
      <c r="AX424" s="55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55"/>
      <c r="BT424" s="55"/>
      <c r="BU424" s="55"/>
      <c r="BV424" s="55"/>
      <c r="BW424" s="55"/>
      <c r="BX424" s="55"/>
      <c r="BY424" s="55"/>
    </row>
    <row r="425">
      <c r="I425" s="216"/>
      <c r="J425" s="216"/>
      <c r="K425" s="216"/>
      <c r="AX425" s="55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55"/>
      <c r="BT425" s="55"/>
      <c r="BU425" s="55"/>
      <c r="BV425" s="55"/>
      <c r="BW425" s="55"/>
      <c r="BX425" s="55"/>
      <c r="BY425" s="55"/>
    </row>
    <row r="426">
      <c r="I426" s="216"/>
      <c r="J426" s="216"/>
      <c r="K426" s="216"/>
      <c r="AX426" s="55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55"/>
      <c r="BT426" s="55"/>
      <c r="BU426" s="55"/>
      <c r="BV426" s="55"/>
      <c r="BW426" s="55"/>
      <c r="BX426" s="55"/>
      <c r="BY426" s="55"/>
    </row>
    <row r="427">
      <c r="I427" s="216"/>
      <c r="J427" s="216"/>
      <c r="K427" s="216"/>
      <c r="AX427" s="55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55"/>
      <c r="BT427" s="55"/>
      <c r="BU427" s="55"/>
      <c r="BV427" s="55"/>
      <c r="BW427" s="55"/>
      <c r="BX427" s="55"/>
      <c r="BY427" s="55"/>
    </row>
    <row r="428">
      <c r="I428" s="216"/>
      <c r="J428" s="216"/>
      <c r="K428" s="216"/>
      <c r="AX428" s="55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55"/>
      <c r="BT428" s="55"/>
      <c r="BU428" s="55"/>
      <c r="BV428" s="55"/>
      <c r="BW428" s="55"/>
      <c r="BX428" s="55"/>
      <c r="BY428" s="55"/>
    </row>
    <row r="429">
      <c r="I429" s="216"/>
      <c r="J429" s="216"/>
      <c r="K429" s="216"/>
      <c r="AX429" s="55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55"/>
      <c r="BT429" s="55"/>
      <c r="BU429" s="55"/>
      <c r="BV429" s="55"/>
      <c r="BW429" s="55"/>
      <c r="BX429" s="55"/>
      <c r="BY429" s="55"/>
    </row>
    <row r="430">
      <c r="I430" s="216"/>
      <c r="J430" s="216"/>
      <c r="K430" s="216"/>
      <c r="AX430" s="55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55"/>
      <c r="BT430" s="55"/>
      <c r="BU430" s="55"/>
      <c r="BV430" s="55"/>
      <c r="BW430" s="55"/>
      <c r="BX430" s="55"/>
      <c r="BY430" s="55"/>
    </row>
    <row r="431">
      <c r="I431" s="216"/>
      <c r="J431" s="216"/>
      <c r="K431" s="216"/>
      <c r="AX431" s="55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55"/>
      <c r="BT431" s="55"/>
      <c r="BU431" s="55"/>
      <c r="BV431" s="55"/>
      <c r="BW431" s="55"/>
      <c r="BX431" s="55"/>
      <c r="BY431" s="55"/>
    </row>
    <row r="432">
      <c r="I432" s="216"/>
      <c r="J432" s="216"/>
      <c r="K432" s="216"/>
      <c r="AX432" s="55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55"/>
      <c r="BT432" s="55"/>
      <c r="BU432" s="55"/>
      <c r="BV432" s="55"/>
      <c r="BW432" s="55"/>
      <c r="BX432" s="55"/>
      <c r="BY432" s="55"/>
    </row>
    <row r="433">
      <c r="I433" s="216"/>
      <c r="J433" s="216"/>
      <c r="K433" s="216"/>
      <c r="AX433" s="55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55"/>
      <c r="BT433" s="55"/>
      <c r="BU433" s="55"/>
      <c r="BV433" s="55"/>
      <c r="BW433" s="55"/>
      <c r="BX433" s="55"/>
      <c r="BY433" s="55"/>
    </row>
    <row r="434">
      <c r="I434" s="216"/>
      <c r="J434" s="216"/>
      <c r="K434" s="216"/>
      <c r="AX434" s="55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55"/>
      <c r="BT434" s="55"/>
      <c r="BU434" s="55"/>
      <c r="BV434" s="55"/>
      <c r="BW434" s="55"/>
      <c r="BX434" s="55"/>
      <c r="BY434" s="55"/>
    </row>
    <row r="435">
      <c r="I435" s="216"/>
      <c r="J435" s="216"/>
      <c r="K435" s="216"/>
      <c r="AX435" s="55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55"/>
      <c r="BT435" s="55"/>
      <c r="BU435" s="55"/>
      <c r="BV435" s="55"/>
      <c r="BW435" s="55"/>
      <c r="BX435" s="55"/>
      <c r="BY435" s="55"/>
    </row>
    <row r="436">
      <c r="I436" s="216"/>
      <c r="J436" s="216"/>
      <c r="K436" s="216"/>
      <c r="AX436" s="55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55"/>
      <c r="BT436" s="55"/>
      <c r="BU436" s="55"/>
      <c r="BV436" s="55"/>
      <c r="BW436" s="55"/>
      <c r="BX436" s="55"/>
      <c r="BY436" s="55"/>
    </row>
    <row r="437">
      <c r="I437" s="216"/>
      <c r="J437" s="216"/>
      <c r="K437" s="216"/>
      <c r="AX437" s="55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55"/>
      <c r="BT437" s="55"/>
      <c r="BU437" s="55"/>
      <c r="BV437" s="55"/>
      <c r="BW437" s="55"/>
      <c r="BX437" s="55"/>
      <c r="BY437" s="55"/>
    </row>
    <row r="438">
      <c r="I438" s="216"/>
      <c r="J438" s="216"/>
      <c r="K438" s="216"/>
      <c r="AX438" s="55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55"/>
      <c r="BT438" s="55"/>
      <c r="BU438" s="55"/>
      <c r="BV438" s="55"/>
      <c r="BW438" s="55"/>
      <c r="BX438" s="55"/>
      <c r="BY438" s="55"/>
    </row>
    <row r="439">
      <c r="I439" s="216"/>
      <c r="J439" s="216"/>
      <c r="K439" s="216"/>
      <c r="AX439" s="55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55"/>
      <c r="BT439" s="55"/>
      <c r="BU439" s="55"/>
      <c r="BV439" s="55"/>
      <c r="BW439" s="55"/>
      <c r="BX439" s="55"/>
      <c r="BY439" s="55"/>
    </row>
    <row r="440">
      <c r="I440" s="216"/>
      <c r="J440" s="216"/>
      <c r="K440" s="216"/>
      <c r="AX440" s="55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55"/>
      <c r="BT440" s="55"/>
      <c r="BU440" s="55"/>
      <c r="BV440" s="55"/>
      <c r="BW440" s="55"/>
      <c r="BX440" s="55"/>
      <c r="BY440" s="55"/>
    </row>
    <row r="441">
      <c r="I441" s="216"/>
      <c r="J441" s="216"/>
      <c r="K441" s="216"/>
      <c r="AX441" s="55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55"/>
      <c r="BT441" s="55"/>
      <c r="BU441" s="55"/>
      <c r="BV441" s="55"/>
      <c r="BW441" s="55"/>
      <c r="BX441" s="55"/>
      <c r="BY441" s="55"/>
    </row>
    <row r="442">
      <c r="I442" s="216"/>
      <c r="J442" s="216"/>
      <c r="K442" s="216"/>
      <c r="AX442" s="55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55"/>
      <c r="BT442" s="55"/>
      <c r="BU442" s="55"/>
      <c r="BV442" s="55"/>
      <c r="BW442" s="55"/>
      <c r="BX442" s="55"/>
      <c r="BY442" s="55"/>
    </row>
    <row r="443">
      <c r="I443" s="216"/>
      <c r="J443" s="216"/>
      <c r="K443" s="216"/>
      <c r="AX443" s="55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55"/>
      <c r="BT443" s="55"/>
      <c r="BU443" s="55"/>
      <c r="BV443" s="55"/>
      <c r="BW443" s="55"/>
      <c r="BX443" s="55"/>
      <c r="BY443" s="55"/>
    </row>
    <row r="444">
      <c r="I444" s="216"/>
      <c r="J444" s="216"/>
      <c r="K444" s="216"/>
      <c r="AX444" s="55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55"/>
      <c r="BT444" s="55"/>
      <c r="BU444" s="55"/>
      <c r="BV444" s="55"/>
      <c r="BW444" s="55"/>
      <c r="BX444" s="55"/>
      <c r="BY444" s="55"/>
    </row>
    <row r="445">
      <c r="I445" s="216"/>
      <c r="J445" s="216"/>
      <c r="K445" s="216"/>
      <c r="AX445" s="55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55"/>
      <c r="BT445" s="55"/>
      <c r="BU445" s="55"/>
      <c r="BV445" s="55"/>
      <c r="BW445" s="55"/>
      <c r="BX445" s="55"/>
      <c r="BY445" s="55"/>
    </row>
    <row r="446">
      <c r="I446" s="216"/>
      <c r="J446" s="216"/>
      <c r="K446" s="216"/>
      <c r="AX446" s="55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55"/>
      <c r="BT446" s="55"/>
      <c r="BU446" s="55"/>
      <c r="BV446" s="55"/>
      <c r="BW446" s="55"/>
      <c r="BX446" s="55"/>
      <c r="BY446" s="55"/>
    </row>
    <row r="447">
      <c r="I447" s="216"/>
      <c r="J447" s="216"/>
      <c r="K447" s="216"/>
      <c r="AX447" s="55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55"/>
      <c r="BT447" s="55"/>
      <c r="BU447" s="55"/>
      <c r="BV447" s="55"/>
      <c r="BW447" s="55"/>
      <c r="BX447" s="55"/>
      <c r="BY447" s="55"/>
    </row>
    <row r="448">
      <c r="I448" s="216"/>
      <c r="J448" s="216"/>
      <c r="K448" s="216"/>
      <c r="AX448" s="55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55"/>
      <c r="BT448" s="55"/>
      <c r="BU448" s="55"/>
      <c r="BV448" s="55"/>
      <c r="BW448" s="55"/>
      <c r="BX448" s="55"/>
      <c r="BY448" s="55"/>
    </row>
    <row r="449">
      <c r="I449" s="216"/>
      <c r="J449" s="216"/>
      <c r="K449" s="216"/>
      <c r="AX449" s="55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55"/>
      <c r="BT449" s="55"/>
      <c r="BU449" s="55"/>
      <c r="BV449" s="55"/>
      <c r="BW449" s="55"/>
      <c r="BX449" s="55"/>
      <c r="BY449" s="55"/>
    </row>
    <row r="450">
      <c r="I450" s="216"/>
      <c r="J450" s="216"/>
      <c r="K450" s="216"/>
      <c r="AX450" s="55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55"/>
      <c r="BT450" s="55"/>
      <c r="BU450" s="55"/>
      <c r="BV450" s="55"/>
      <c r="BW450" s="55"/>
      <c r="BX450" s="55"/>
      <c r="BY450" s="55"/>
    </row>
    <row r="451">
      <c r="I451" s="216"/>
      <c r="J451" s="216"/>
      <c r="K451" s="216"/>
      <c r="AX451" s="55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55"/>
      <c r="BT451" s="55"/>
      <c r="BU451" s="55"/>
      <c r="BV451" s="55"/>
      <c r="BW451" s="55"/>
      <c r="BX451" s="55"/>
      <c r="BY451" s="55"/>
    </row>
    <row r="452">
      <c r="I452" s="216"/>
      <c r="J452" s="216"/>
      <c r="K452" s="216"/>
      <c r="AX452" s="55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55"/>
      <c r="BT452" s="55"/>
      <c r="BU452" s="55"/>
      <c r="BV452" s="55"/>
      <c r="BW452" s="55"/>
      <c r="BX452" s="55"/>
      <c r="BY452" s="55"/>
    </row>
    <row r="453">
      <c r="I453" s="216"/>
      <c r="J453" s="216"/>
      <c r="K453" s="216"/>
      <c r="AX453" s="55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55"/>
      <c r="BT453" s="55"/>
      <c r="BU453" s="55"/>
      <c r="BV453" s="55"/>
      <c r="BW453" s="55"/>
      <c r="BX453" s="55"/>
      <c r="BY453" s="55"/>
    </row>
    <row r="454">
      <c r="I454" s="216"/>
      <c r="J454" s="216"/>
      <c r="K454" s="216"/>
      <c r="AX454" s="55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55"/>
      <c r="BT454" s="55"/>
      <c r="BU454" s="55"/>
      <c r="BV454" s="55"/>
      <c r="BW454" s="55"/>
      <c r="BX454" s="55"/>
      <c r="BY454" s="55"/>
    </row>
    <row r="455">
      <c r="I455" s="216"/>
      <c r="J455" s="216"/>
      <c r="K455" s="216"/>
      <c r="AX455" s="55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55"/>
      <c r="BT455" s="55"/>
      <c r="BU455" s="55"/>
      <c r="BV455" s="55"/>
      <c r="BW455" s="55"/>
      <c r="BX455" s="55"/>
      <c r="BY455" s="55"/>
    </row>
    <row r="456">
      <c r="I456" s="216"/>
      <c r="J456" s="216"/>
      <c r="K456" s="216"/>
      <c r="AX456" s="55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55"/>
      <c r="BT456" s="55"/>
      <c r="BU456" s="55"/>
      <c r="BV456" s="55"/>
      <c r="BW456" s="55"/>
      <c r="BX456" s="55"/>
      <c r="BY456" s="55"/>
    </row>
    <row r="457">
      <c r="I457" s="216"/>
      <c r="J457" s="216"/>
      <c r="K457" s="216"/>
      <c r="AX457" s="55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55"/>
      <c r="BT457" s="55"/>
      <c r="BU457" s="55"/>
      <c r="BV457" s="55"/>
      <c r="BW457" s="55"/>
      <c r="BX457" s="55"/>
      <c r="BY457" s="55"/>
    </row>
    <row r="458">
      <c r="I458" s="216"/>
      <c r="J458" s="216"/>
      <c r="K458" s="216"/>
      <c r="AX458" s="55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55"/>
      <c r="BT458" s="55"/>
      <c r="BU458" s="55"/>
      <c r="BV458" s="55"/>
      <c r="BW458" s="55"/>
      <c r="BX458" s="55"/>
      <c r="BY458" s="55"/>
    </row>
    <row r="459">
      <c r="I459" s="216"/>
      <c r="J459" s="216"/>
      <c r="K459" s="216"/>
      <c r="AX459" s="55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55"/>
      <c r="BT459" s="55"/>
      <c r="BU459" s="55"/>
      <c r="BV459" s="55"/>
      <c r="BW459" s="55"/>
      <c r="BX459" s="55"/>
      <c r="BY459" s="55"/>
    </row>
    <row r="460">
      <c r="I460" s="216"/>
      <c r="J460" s="216"/>
      <c r="K460" s="216"/>
      <c r="AX460" s="55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55"/>
      <c r="BT460" s="55"/>
      <c r="BU460" s="55"/>
      <c r="BV460" s="55"/>
      <c r="BW460" s="55"/>
      <c r="BX460" s="55"/>
      <c r="BY460" s="55"/>
    </row>
    <row r="461">
      <c r="I461" s="216"/>
      <c r="J461" s="216"/>
      <c r="K461" s="216"/>
      <c r="AX461" s="55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55"/>
      <c r="BT461" s="55"/>
      <c r="BU461" s="55"/>
      <c r="BV461" s="55"/>
      <c r="BW461" s="55"/>
      <c r="BX461" s="55"/>
      <c r="BY461" s="55"/>
    </row>
    <row r="462">
      <c r="I462" s="216"/>
      <c r="J462" s="216"/>
      <c r="K462" s="216"/>
      <c r="AX462" s="55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55"/>
      <c r="BT462" s="55"/>
      <c r="BU462" s="55"/>
      <c r="BV462" s="55"/>
      <c r="BW462" s="55"/>
      <c r="BX462" s="55"/>
      <c r="BY462" s="55"/>
    </row>
    <row r="463">
      <c r="I463" s="216"/>
      <c r="J463" s="216"/>
      <c r="K463" s="216"/>
      <c r="AX463" s="55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55"/>
      <c r="BT463" s="55"/>
      <c r="BU463" s="55"/>
      <c r="BV463" s="55"/>
      <c r="BW463" s="55"/>
      <c r="BX463" s="55"/>
      <c r="BY463" s="55"/>
    </row>
    <row r="464">
      <c r="I464" s="216"/>
      <c r="J464" s="216"/>
      <c r="K464" s="216"/>
      <c r="AX464" s="55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55"/>
      <c r="BT464" s="55"/>
      <c r="BU464" s="55"/>
      <c r="BV464" s="55"/>
      <c r="BW464" s="55"/>
      <c r="BX464" s="55"/>
      <c r="BY464" s="55"/>
    </row>
    <row r="465">
      <c r="I465" s="216"/>
      <c r="J465" s="216"/>
      <c r="K465" s="216"/>
      <c r="AX465" s="55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55"/>
      <c r="BT465" s="55"/>
      <c r="BU465" s="55"/>
      <c r="BV465" s="55"/>
      <c r="BW465" s="55"/>
      <c r="BX465" s="55"/>
      <c r="BY465" s="55"/>
    </row>
    <row r="466">
      <c r="I466" s="216"/>
      <c r="J466" s="216"/>
      <c r="K466" s="216"/>
      <c r="AX466" s="55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55"/>
      <c r="BT466" s="55"/>
      <c r="BU466" s="55"/>
      <c r="BV466" s="55"/>
      <c r="BW466" s="55"/>
      <c r="BX466" s="55"/>
      <c r="BY466" s="55"/>
    </row>
    <row r="467">
      <c r="I467" s="216"/>
      <c r="J467" s="216"/>
      <c r="K467" s="216"/>
      <c r="AX467" s="55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55"/>
      <c r="BT467" s="55"/>
      <c r="BU467" s="55"/>
      <c r="BV467" s="55"/>
      <c r="BW467" s="55"/>
      <c r="BX467" s="55"/>
      <c r="BY467" s="55"/>
    </row>
    <row r="468">
      <c r="I468" s="216"/>
      <c r="J468" s="216"/>
      <c r="K468" s="216"/>
      <c r="AX468" s="55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55"/>
      <c r="BT468" s="55"/>
      <c r="BU468" s="55"/>
      <c r="BV468" s="55"/>
      <c r="BW468" s="55"/>
      <c r="BX468" s="55"/>
      <c r="BY468" s="55"/>
    </row>
    <row r="469">
      <c r="I469" s="216"/>
      <c r="J469" s="216"/>
      <c r="K469" s="216"/>
      <c r="AX469" s="55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55"/>
      <c r="BT469" s="55"/>
      <c r="BU469" s="55"/>
      <c r="BV469" s="55"/>
      <c r="BW469" s="55"/>
      <c r="BX469" s="55"/>
      <c r="BY469" s="55"/>
    </row>
    <row r="470">
      <c r="I470" s="216"/>
      <c r="J470" s="216"/>
      <c r="K470" s="216"/>
      <c r="AX470" s="55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55"/>
      <c r="BT470" s="55"/>
      <c r="BU470" s="55"/>
      <c r="BV470" s="55"/>
      <c r="BW470" s="55"/>
      <c r="BX470" s="55"/>
      <c r="BY470" s="55"/>
    </row>
    <row r="471">
      <c r="I471" s="216"/>
      <c r="J471" s="216"/>
      <c r="K471" s="216"/>
      <c r="AX471" s="55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55"/>
      <c r="BT471" s="55"/>
      <c r="BU471" s="55"/>
      <c r="BV471" s="55"/>
      <c r="BW471" s="55"/>
      <c r="BX471" s="55"/>
      <c r="BY471" s="55"/>
    </row>
    <row r="472">
      <c r="I472" s="216"/>
      <c r="J472" s="216"/>
      <c r="K472" s="216"/>
      <c r="AX472" s="55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55"/>
      <c r="BT472" s="55"/>
      <c r="BU472" s="55"/>
      <c r="BV472" s="55"/>
      <c r="BW472" s="55"/>
      <c r="BX472" s="55"/>
      <c r="BY472" s="55"/>
    </row>
    <row r="473">
      <c r="I473" s="216"/>
      <c r="J473" s="216"/>
      <c r="K473" s="216"/>
      <c r="AX473" s="55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55"/>
      <c r="BT473" s="55"/>
      <c r="BU473" s="55"/>
      <c r="BV473" s="55"/>
      <c r="BW473" s="55"/>
      <c r="BX473" s="55"/>
      <c r="BY473" s="55"/>
    </row>
    <row r="474">
      <c r="I474" s="216"/>
      <c r="J474" s="216"/>
      <c r="K474" s="216"/>
      <c r="AX474" s="55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55"/>
      <c r="BT474" s="55"/>
      <c r="BU474" s="55"/>
      <c r="BV474" s="55"/>
      <c r="BW474" s="55"/>
      <c r="BX474" s="55"/>
      <c r="BY474" s="55"/>
    </row>
    <row r="475">
      <c r="I475" s="216"/>
      <c r="J475" s="216"/>
      <c r="K475" s="216"/>
      <c r="AX475" s="55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55"/>
      <c r="BT475" s="55"/>
      <c r="BU475" s="55"/>
      <c r="BV475" s="55"/>
      <c r="BW475" s="55"/>
      <c r="BX475" s="55"/>
      <c r="BY475" s="55"/>
    </row>
    <row r="476">
      <c r="I476" s="216"/>
      <c r="J476" s="216"/>
      <c r="K476" s="216"/>
      <c r="AX476" s="55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55"/>
      <c r="BT476" s="55"/>
      <c r="BU476" s="55"/>
      <c r="BV476" s="55"/>
      <c r="BW476" s="55"/>
      <c r="BX476" s="55"/>
      <c r="BY476" s="55"/>
    </row>
    <row r="477">
      <c r="I477" s="216"/>
      <c r="J477" s="216"/>
      <c r="K477" s="216"/>
      <c r="AX477" s="55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55"/>
      <c r="BT477" s="55"/>
      <c r="BU477" s="55"/>
      <c r="BV477" s="55"/>
      <c r="BW477" s="55"/>
      <c r="BX477" s="55"/>
      <c r="BY477" s="55"/>
    </row>
    <row r="478">
      <c r="I478" s="216"/>
      <c r="J478" s="216"/>
      <c r="K478" s="216"/>
      <c r="AX478" s="55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55"/>
      <c r="BT478" s="55"/>
      <c r="BU478" s="55"/>
      <c r="BV478" s="55"/>
      <c r="BW478" s="55"/>
      <c r="BX478" s="55"/>
      <c r="BY478" s="55"/>
    </row>
    <row r="479">
      <c r="I479" s="216"/>
      <c r="J479" s="216"/>
      <c r="K479" s="216"/>
      <c r="AX479" s="55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55"/>
      <c r="BT479" s="55"/>
      <c r="BU479" s="55"/>
      <c r="BV479" s="55"/>
      <c r="BW479" s="55"/>
      <c r="BX479" s="55"/>
      <c r="BY479" s="55"/>
    </row>
    <row r="480">
      <c r="I480" s="216"/>
      <c r="J480" s="216"/>
      <c r="K480" s="216"/>
      <c r="AX480" s="55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55"/>
      <c r="BT480" s="55"/>
      <c r="BU480" s="55"/>
      <c r="BV480" s="55"/>
      <c r="BW480" s="55"/>
      <c r="BX480" s="55"/>
      <c r="BY480" s="55"/>
    </row>
    <row r="481">
      <c r="I481" s="216"/>
      <c r="J481" s="216"/>
      <c r="K481" s="216"/>
      <c r="AX481" s="55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55"/>
      <c r="BT481" s="55"/>
      <c r="BU481" s="55"/>
      <c r="BV481" s="55"/>
      <c r="BW481" s="55"/>
      <c r="BX481" s="55"/>
      <c r="BY481" s="55"/>
    </row>
    <row r="482">
      <c r="I482" s="216"/>
      <c r="J482" s="216"/>
      <c r="K482" s="216"/>
      <c r="AX482" s="55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55"/>
      <c r="BT482" s="55"/>
      <c r="BU482" s="55"/>
      <c r="BV482" s="55"/>
      <c r="BW482" s="55"/>
      <c r="BX482" s="55"/>
      <c r="BY482" s="55"/>
    </row>
    <row r="483">
      <c r="I483" s="216"/>
      <c r="J483" s="216"/>
      <c r="K483" s="216"/>
      <c r="AX483" s="55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55"/>
      <c r="BT483" s="55"/>
      <c r="BU483" s="55"/>
      <c r="BV483" s="55"/>
      <c r="BW483" s="55"/>
      <c r="BX483" s="55"/>
      <c r="BY483" s="55"/>
    </row>
    <row r="484">
      <c r="I484" s="216"/>
      <c r="J484" s="216"/>
      <c r="K484" s="216"/>
      <c r="AX484" s="55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55"/>
      <c r="BT484" s="55"/>
      <c r="BU484" s="55"/>
      <c r="BV484" s="55"/>
      <c r="BW484" s="55"/>
      <c r="BX484" s="55"/>
      <c r="BY484" s="55"/>
    </row>
    <row r="485">
      <c r="I485" s="216"/>
      <c r="J485" s="216"/>
      <c r="K485" s="216"/>
      <c r="AX485" s="55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55"/>
      <c r="BT485" s="55"/>
      <c r="BU485" s="55"/>
      <c r="BV485" s="55"/>
      <c r="BW485" s="55"/>
      <c r="BX485" s="55"/>
      <c r="BY485" s="55"/>
    </row>
    <row r="486">
      <c r="I486" s="216"/>
      <c r="J486" s="216"/>
      <c r="K486" s="216"/>
      <c r="AX486" s="55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55"/>
      <c r="BT486" s="55"/>
      <c r="BU486" s="55"/>
      <c r="BV486" s="55"/>
      <c r="BW486" s="55"/>
      <c r="BX486" s="55"/>
      <c r="BY486" s="55"/>
    </row>
    <row r="487">
      <c r="I487" s="216"/>
      <c r="J487" s="216"/>
      <c r="K487" s="216"/>
      <c r="AX487" s="55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55"/>
      <c r="BT487" s="55"/>
      <c r="BU487" s="55"/>
      <c r="BV487" s="55"/>
      <c r="BW487" s="55"/>
      <c r="BX487" s="55"/>
      <c r="BY487" s="55"/>
    </row>
    <row r="488">
      <c r="I488" s="216"/>
      <c r="J488" s="216"/>
      <c r="K488" s="216"/>
      <c r="AX488" s="55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55"/>
      <c r="BT488" s="55"/>
      <c r="BU488" s="55"/>
      <c r="BV488" s="55"/>
      <c r="BW488" s="55"/>
      <c r="BX488" s="55"/>
      <c r="BY488" s="55"/>
    </row>
    <row r="489">
      <c r="I489" s="216"/>
      <c r="J489" s="216"/>
      <c r="K489" s="216"/>
      <c r="AX489" s="55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55"/>
      <c r="BT489" s="55"/>
      <c r="BU489" s="55"/>
      <c r="BV489" s="55"/>
      <c r="BW489" s="55"/>
      <c r="BX489" s="55"/>
      <c r="BY489" s="55"/>
    </row>
    <row r="490">
      <c r="I490" s="216"/>
      <c r="J490" s="216"/>
      <c r="K490" s="216"/>
      <c r="AX490" s="55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55"/>
      <c r="BT490" s="55"/>
      <c r="BU490" s="55"/>
      <c r="BV490" s="55"/>
      <c r="BW490" s="55"/>
      <c r="BX490" s="55"/>
      <c r="BY490" s="55"/>
    </row>
    <row r="491">
      <c r="I491" s="216"/>
      <c r="J491" s="216"/>
      <c r="K491" s="216"/>
      <c r="AX491" s="55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55"/>
      <c r="BT491" s="55"/>
      <c r="BU491" s="55"/>
      <c r="BV491" s="55"/>
      <c r="BW491" s="55"/>
      <c r="BX491" s="55"/>
      <c r="BY491" s="55"/>
    </row>
    <row r="492">
      <c r="I492" s="216"/>
      <c r="J492" s="216"/>
      <c r="K492" s="216"/>
      <c r="AX492" s="55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55"/>
      <c r="BT492" s="55"/>
      <c r="BU492" s="55"/>
      <c r="BV492" s="55"/>
      <c r="BW492" s="55"/>
      <c r="BX492" s="55"/>
      <c r="BY492" s="55"/>
    </row>
    <row r="493">
      <c r="I493" s="216"/>
      <c r="J493" s="216"/>
      <c r="K493" s="216"/>
      <c r="AX493" s="55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55"/>
      <c r="BT493" s="55"/>
      <c r="BU493" s="55"/>
      <c r="BV493" s="55"/>
      <c r="BW493" s="55"/>
      <c r="BX493" s="55"/>
      <c r="BY493" s="55"/>
    </row>
    <row r="494">
      <c r="I494" s="216"/>
      <c r="J494" s="216"/>
      <c r="K494" s="216"/>
      <c r="AX494" s="55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55"/>
      <c r="BT494" s="55"/>
      <c r="BU494" s="55"/>
      <c r="BV494" s="55"/>
      <c r="BW494" s="55"/>
      <c r="BX494" s="55"/>
      <c r="BY494" s="55"/>
    </row>
    <row r="495">
      <c r="I495" s="216"/>
      <c r="J495" s="216"/>
      <c r="K495" s="216"/>
      <c r="AX495" s="55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55"/>
      <c r="BT495" s="55"/>
      <c r="BU495" s="55"/>
      <c r="BV495" s="55"/>
      <c r="BW495" s="55"/>
      <c r="BX495" s="55"/>
      <c r="BY495" s="55"/>
    </row>
    <row r="496">
      <c r="I496" s="216"/>
      <c r="J496" s="216"/>
      <c r="K496" s="216"/>
      <c r="AX496" s="55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55"/>
      <c r="BT496" s="55"/>
      <c r="BU496" s="55"/>
      <c r="BV496" s="55"/>
      <c r="BW496" s="55"/>
      <c r="BX496" s="55"/>
      <c r="BY496" s="55"/>
    </row>
    <row r="497">
      <c r="I497" s="216"/>
      <c r="J497" s="216"/>
      <c r="K497" s="216"/>
      <c r="AX497" s="55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55"/>
      <c r="BT497" s="55"/>
      <c r="BU497" s="55"/>
      <c r="BV497" s="55"/>
      <c r="BW497" s="55"/>
      <c r="BX497" s="55"/>
      <c r="BY497" s="55"/>
    </row>
    <row r="498">
      <c r="I498" s="216"/>
      <c r="J498" s="216"/>
      <c r="K498" s="216"/>
      <c r="AX498" s="55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55"/>
      <c r="BT498" s="55"/>
      <c r="BU498" s="55"/>
      <c r="BV498" s="55"/>
      <c r="BW498" s="55"/>
      <c r="BX498" s="55"/>
      <c r="BY498" s="55"/>
    </row>
    <row r="499">
      <c r="I499" s="216"/>
      <c r="J499" s="216"/>
      <c r="K499" s="216"/>
      <c r="AX499" s="55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55"/>
      <c r="BT499" s="55"/>
      <c r="BU499" s="55"/>
      <c r="BV499" s="55"/>
      <c r="BW499" s="55"/>
      <c r="BX499" s="55"/>
      <c r="BY499" s="55"/>
    </row>
    <row r="500">
      <c r="I500" s="216"/>
      <c r="J500" s="216"/>
      <c r="K500" s="216"/>
      <c r="AX500" s="55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55"/>
      <c r="BT500" s="55"/>
      <c r="BU500" s="55"/>
      <c r="BV500" s="55"/>
      <c r="BW500" s="55"/>
      <c r="BX500" s="55"/>
      <c r="BY500" s="55"/>
    </row>
    <row r="501">
      <c r="I501" s="216"/>
      <c r="J501" s="216"/>
      <c r="K501" s="216"/>
      <c r="AX501" s="55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55"/>
      <c r="BT501" s="55"/>
      <c r="BU501" s="55"/>
      <c r="BV501" s="55"/>
      <c r="BW501" s="55"/>
      <c r="BX501" s="55"/>
      <c r="BY501" s="55"/>
    </row>
    <row r="502">
      <c r="I502" s="216"/>
      <c r="J502" s="216"/>
      <c r="K502" s="216"/>
      <c r="AX502" s="55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55"/>
      <c r="BT502" s="55"/>
      <c r="BU502" s="55"/>
      <c r="BV502" s="55"/>
      <c r="BW502" s="55"/>
      <c r="BX502" s="55"/>
      <c r="BY502" s="55"/>
    </row>
    <row r="503">
      <c r="I503" s="216"/>
      <c r="J503" s="216"/>
      <c r="K503" s="216"/>
      <c r="AX503" s="55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55"/>
      <c r="BT503" s="55"/>
      <c r="BU503" s="55"/>
      <c r="BV503" s="55"/>
      <c r="BW503" s="55"/>
      <c r="BX503" s="55"/>
      <c r="BY503" s="55"/>
    </row>
    <row r="504">
      <c r="I504" s="216"/>
      <c r="J504" s="216"/>
      <c r="K504" s="216"/>
      <c r="AX504" s="55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55"/>
      <c r="BT504" s="55"/>
      <c r="BU504" s="55"/>
      <c r="BV504" s="55"/>
      <c r="BW504" s="55"/>
      <c r="BX504" s="55"/>
      <c r="BY504" s="55"/>
    </row>
    <row r="505">
      <c r="I505" s="216"/>
      <c r="J505" s="216"/>
      <c r="K505" s="216"/>
      <c r="AX505" s="55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55"/>
      <c r="BT505" s="55"/>
      <c r="BU505" s="55"/>
      <c r="BV505" s="55"/>
      <c r="BW505" s="55"/>
      <c r="BX505" s="55"/>
      <c r="BY505" s="55"/>
    </row>
    <row r="506">
      <c r="I506" s="216"/>
      <c r="J506" s="216"/>
      <c r="K506" s="216"/>
      <c r="AX506" s="55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55"/>
      <c r="BT506" s="55"/>
      <c r="BU506" s="55"/>
      <c r="BV506" s="55"/>
      <c r="BW506" s="55"/>
      <c r="BX506" s="55"/>
      <c r="BY506" s="55"/>
    </row>
    <row r="507">
      <c r="I507" s="216"/>
      <c r="J507" s="216"/>
      <c r="K507" s="216"/>
      <c r="AX507" s="55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55"/>
      <c r="BT507" s="55"/>
      <c r="BU507" s="55"/>
      <c r="BV507" s="55"/>
      <c r="BW507" s="55"/>
      <c r="BX507" s="55"/>
      <c r="BY507" s="55"/>
    </row>
    <row r="508">
      <c r="I508" s="216"/>
      <c r="J508" s="216"/>
      <c r="K508" s="216"/>
      <c r="AX508" s="55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55"/>
      <c r="BT508" s="55"/>
      <c r="BU508" s="55"/>
      <c r="BV508" s="55"/>
      <c r="BW508" s="55"/>
      <c r="BX508" s="55"/>
      <c r="BY508" s="55"/>
    </row>
    <row r="509">
      <c r="I509" s="216"/>
      <c r="J509" s="216"/>
      <c r="K509" s="216"/>
      <c r="AX509" s="55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55"/>
      <c r="BT509" s="55"/>
      <c r="BU509" s="55"/>
      <c r="BV509" s="55"/>
      <c r="BW509" s="55"/>
      <c r="BX509" s="55"/>
      <c r="BY509" s="55"/>
    </row>
    <row r="510">
      <c r="I510" s="216"/>
      <c r="J510" s="216"/>
      <c r="K510" s="216"/>
      <c r="AX510" s="55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55"/>
      <c r="BT510" s="55"/>
      <c r="BU510" s="55"/>
      <c r="BV510" s="55"/>
      <c r="BW510" s="55"/>
      <c r="BX510" s="55"/>
      <c r="BY510" s="55"/>
    </row>
    <row r="511">
      <c r="I511" s="216"/>
      <c r="J511" s="216"/>
      <c r="K511" s="216"/>
      <c r="AX511" s="55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55"/>
      <c r="BT511" s="55"/>
      <c r="BU511" s="55"/>
      <c r="BV511" s="55"/>
      <c r="BW511" s="55"/>
      <c r="BX511" s="55"/>
      <c r="BY511" s="55"/>
    </row>
    <row r="512">
      <c r="I512" s="216"/>
      <c r="J512" s="216"/>
      <c r="K512" s="216"/>
      <c r="AX512" s="55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55"/>
      <c r="BT512" s="55"/>
      <c r="BU512" s="55"/>
      <c r="BV512" s="55"/>
      <c r="BW512" s="55"/>
      <c r="BX512" s="55"/>
      <c r="BY512" s="55"/>
    </row>
    <row r="513">
      <c r="I513" s="216"/>
      <c r="J513" s="216"/>
      <c r="K513" s="216"/>
      <c r="AX513" s="55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55"/>
      <c r="BT513" s="55"/>
      <c r="BU513" s="55"/>
      <c r="BV513" s="55"/>
      <c r="BW513" s="55"/>
      <c r="BX513" s="55"/>
      <c r="BY513" s="55"/>
    </row>
    <row r="514">
      <c r="I514" s="216"/>
      <c r="J514" s="216"/>
      <c r="K514" s="216"/>
      <c r="AX514" s="55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55"/>
      <c r="BT514" s="55"/>
      <c r="BU514" s="55"/>
      <c r="BV514" s="55"/>
      <c r="BW514" s="55"/>
      <c r="BX514" s="55"/>
      <c r="BY514" s="55"/>
    </row>
    <row r="515">
      <c r="I515" s="216"/>
      <c r="J515" s="216"/>
      <c r="K515" s="216"/>
      <c r="AX515" s="55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55"/>
      <c r="BT515" s="55"/>
      <c r="BU515" s="55"/>
      <c r="BV515" s="55"/>
      <c r="BW515" s="55"/>
      <c r="BX515" s="55"/>
      <c r="BY515" s="55"/>
    </row>
    <row r="516">
      <c r="I516" s="216"/>
      <c r="J516" s="216"/>
      <c r="K516" s="216"/>
      <c r="AX516" s="55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55"/>
      <c r="BT516" s="55"/>
      <c r="BU516" s="55"/>
      <c r="BV516" s="55"/>
      <c r="BW516" s="55"/>
      <c r="BX516" s="55"/>
      <c r="BY516" s="55"/>
    </row>
    <row r="517">
      <c r="I517" s="216"/>
      <c r="J517" s="216"/>
      <c r="K517" s="216"/>
      <c r="AX517" s="55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55"/>
      <c r="BT517" s="55"/>
      <c r="BU517" s="55"/>
      <c r="BV517" s="55"/>
      <c r="BW517" s="55"/>
      <c r="BX517" s="55"/>
      <c r="BY517" s="55"/>
    </row>
    <row r="518">
      <c r="I518" s="216"/>
      <c r="J518" s="216"/>
      <c r="K518" s="216"/>
      <c r="AX518" s="55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55"/>
      <c r="BT518" s="55"/>
      <c r="BU518" s="55"/>
      <c r="BV518" s="55"/>
      <c r="BW518" s="55"/>
      <c r="BX518" s="55"/>
      <c r="BY518" s="55"/>
    </row>
    <row r="519">
      <c r="I519" s="216"/>
      <c r="J519" s="216"/>
      <c r="K519" s="216"/>
      <c r="AX519" s="55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55"/>
      <c r="BT519" s="55"/>
      <c r="BU519" s="55"/>
      <c r="BV519" s="55"/>
      <c r="BW519" s="55"/>
      <c r="BX519" s="55"/>
      <c r="BY519" s="55"/>
    </row>
    <row r="520">
      <c r="I520" s="216"/>
      <c r="J520" s="216"/>
      <c r="K520" s="216"/>
      <c r="AX520" s="55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55"/>
      <c r="BT520" s="55"/>
      <c r="BU520" s="55"/>
      <c r="BV520" s="55"/>
      <c r="BW520" s="55"/>
      <c r="BX520" s="55"/>
      <c r="BY520" s="55"/>
    </row>
    <row r="521">
      <c r="I521" s="216"/>
      <c r="J521" s="216"/>
      <c r="K521" s="216"/>
      <c r="AX521" s="55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55"/>
      <c r="BT521" s="55"/>
      <c r="BU521" s="55"/>
      <c r="BV521" s="55"/>
      <c r="BW521" s="55"/>
      <c r="BX521" s="55"/>
      <c r="BY521" s="55"/>
    </row>
    <row r="522">
      <c r="I522" s="216"/>
      <c r="J522" s="216"/>
      <c r="K522" s="216"/>
      <c r="AX522" s="55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55"/>
      <c r="BT522" s="55"/>
      <c r="BU522" s="55"/>
      <c r="BV522" s="55"/>
      <c r="BW522" s="55"/>
      <c r="BX522" s="55"/>
      <c r="BY522" s="55"/>
    </row>
    <row r="523">
      <c r="I523" s="216"/>
      <c r="J523" s="216"/>
      <c r="K523" s="216"/>
      <c r="AX523" s="55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55"/>
      <c r="BT523" s="55"/>
      <c r="BU523" s="55"/>
      <c r="BV523" s="55"/>
      <c r="BW523" s="55"/>
      <c r="BX523" s="55"/>
      <c r="BY523" s="55"/>
    </row>
    <row r="524">
      <c r="I524" s="216"/>
      <c r="J524" s="216"/>
      <c r="K524" s="216"/>
      <c r="AX524" s="55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55"/>
      <c r="BT524" s="55"/>
      <c r="BU524" s="55"/>
      <c r="BV524" s="55"/>
      <c r="BW524" s="55"/>
      <c r="BX524" s="55"/>
      <c r="BY524" s="55"/>
    </row>
    <row r="525">
      <c r="I525" s="216"/>
      <c r="J525" s="216"/>
      <c r="K525" s="216"/>
      <c r="AX525" s="55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55"/>
      <c r="BT525" s="55"/>
      <c r="BU525" s="55"/>
      <c r="BV525" s="55"/>
      <c r="BW525" s="55"/>
      <c r="BX525" s="55"/>
      <c r="BY525" s="55"/>
    </row>
    <row r="526">
      <c r="I526" s="216"/>
      <c r="J526" s="216"/>
      <c r="K526" s="216"/>
      <c r="AX526" s="55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55"/>
      <c r="BT526" s="55"/>
      <c r="BU526" s="55"/>
      <c r="BV526" s="55"/>
      <c r="BW526" s="55"/>
      <c r="BX526" s="55"/>
      <c r="BY526" s="55"/>
    </row>
    <row r="527">
      <c r="I527" s="216"/>
      <c r="J527" s="216"/>
      <c r="K527" s="216"/>
      <c r="AX527" s="55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55"/>
      <c r="BT527" s="55"/>
      <c r="BU527" s="55"/>
      <c r="BV527" s="55"/>
      <c r="BW527" s="55"/>
      <c r="BX527" s="55"/>
      <c r="BY527" s="55"/>
    </row>
    <row r="528">
      <c r="I528" s="216"/>
      <c r="J528" s="216"/>
      <c r="K528" s="216"/>
      <c r="AX528" s="55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55"/>
      <c r="BT528" s="55"/>
      <c r="BU528" s="55"/>
      <c r="BV528" s="55"/>
      <c r="BW528" s="55"/>
      <c r="BX528" s="55"/>
      <c r="BY528" s="55"/>
    </row>
    <row r="529">
      <c r="I529" s="216"/>
      <c r="J529" s="216"/>
      <c r="K529" s="216"/>
      <c r="AX529" s="55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55"/>
      <c r="BT529" s="55"/>
      <c r="BU529" s="55"/>
      <c r="BV529" s="55"/>
      <c r="BW529" s="55"/>
      <c r="BX529" s="55"/>
      <c r="BY529" s="55"/>
    </row>
    <row r="530">
      <c r="I530" s="216"/>
      <c r="J530" s="216"/>
      <c r="K530" s="216"/>
      <c r="AX530" s="55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55"/>
      <c r="BT530" s="55"/>
      <c r="BU530" s="55"/>
      <c r="BV530" s="55"/>
      <c r="BW530" s="55"/>
      <c r="BX530" s="55"/>
      <c r="BY530" s="55"/>
    </row>
    <row r="531">
      <c r="I531" s="216"/>
      <c r="J531" s="216"/>
      <c r="K531" s="216"/>
      <c r="AX531" s="55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55"/>
      <c r="BT531" s="55"/>
      <c r="BU531" s="55"/>
      <c r="BV531" s="55"/>
      <c r="BW531" s="55"/>
      <c r="BX531" s="55"/>
      <c r="BY531" s="55"/>
    </row>
    <row r="532">
      <c r="I532" s="216"/>
      <c r="J532" s="216"/>
      <c r="K532" s="216"/>
      <c r="AX532" s="55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55"/>
      <c r="BT532" s="55"/>
      <c r="BU532" s="55"/>
      <c r="BV532" s="55"/>
      <c r="BW532" s="55"/>
      <c r="BX532" s="55"/>
      <c r="BY532" s="55"/>
    </row>
    <row r="533">
      <c r="I533" s="216"/>
      <c r="J533" s="216"/>
      <c r="K533" s="216"/>
      <c r="AX533" s="55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55"/>
      <c r="BT533" s="55"/>
      <c r="BU533" s="55"/>
      <c r="BV533" s="55"/>
      <c r="BW533" s="55"/>
      <c r="BX533" s="55"/>
      <c r="BY533" s="55"/>
    </row>
    <row r="534">
      <c r="I534" s="216"/>
      <c r="J534" s="216"/>
      <c r="K534" s="216"/>
      <c r="AX534" s="55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55"/>
      <c r="BT534" s="55"/>
      <c r="BU534" s="55"/>
      <c r="BV534" s="55"/>
      <c r="BW534" s="55"/>
      <c r="BX534" s="55"/>
      <c r="BY534" s="55"/>
    </row>
    <row r="535">
      <c r="I535" s="216"/>
      <c r="J535" s="216"/>
      <c r="K535" s="216"/>
      <c r="AX535" s="55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55"/>
      <c r="BT535" s="55"/>
      <c r="BU535" s="55"/>
      <c r="BV535" s="55"/>
      <c r="BW535" s="55"/>
      <c r="BX535" s="55"/>
      <c r="BY535" s="55"/>
    </row>
    <row r="536">
      <c r="I536" s="216"/>
      <c r="J536" s="216"/>
      <c r="K536" s="216"/>
      <c r="AX536" s="55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55"/>
      <c r="BT536" s="55"/>
      <c r="BU536" s="55"/>
      <c r="BV536" s="55"/>
      <c r="BW536" s="55"/>
      <c r="BX536" s="55"/>
      <c r="BY536" s="55"/>
    </row>
    <row r="537">
      <c r="I537" s="216"/>
      <c r="J537" s="216"/>
      <c r="K537" s="216"/>
      <c r="AX537" s="55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55"/>
      <c r="BT537" s="55"/>
      <c r="BU537" s="55"/>
      <c r="BV537" s="55"/>
      <c r="BW537" s="55"/>
      <c r="BX537" s="55"/>
      <c r="BY537" s="55"/>
    </row>
    <row r="538">
      <c r="I538" s="216"/>
      <c r="J538" s="216"/>
      <c r="K538" s="216"/>
      <c r="AX538" s="55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55"/>
      <c r="BT538" s="55"/>
      <c r="BU538" s="55"/>
      <c r="BV538" s="55"/>
      <c r="BW538" s="55"/>
      <c r="BX538" s="55"/>
      <c r="BY538" s="55"/>
    </row>
    <row r="539">
      <c r="I539" s="216"/>
      <c r="J539" s="216"/>
      <c r="K539" s="216"/>
      <c r="AX539" s="55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55"/>
      <c r="BT539" s="55"/>
      <c r="BU539" s="55"/>
      <c r="BV539" s="55"/>
      <c r="BW539" s="55"/>
      <c r="BX539" s="55"/>
      <c r="BY539" s="55"/>
    </row>
    <row r="540">
      <c r="I540" s="216"/>
      <c r="J540" s="216"/>
      <c r="K540" s="216"/>
      <c r="AX540" s="55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55"/>
      <c r="BT540" s="55"/>
      <c r="BU540" s="55"/>
      <c r="BV540" s="55"/>
      <c r="BW540" s="55"/>
      <c r="BX540" s="55"/>
      <c r="BY540" s="55"/>
    </row>
    <row r="541">
      <c r="I541" s="216"/>
      <c r="J541" s="216"/>
      <c r="K541" s="216"/>
      <c r="AX541" s="55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55"/>
      <c r="BT541" s="55"/>
      <c r="BU541" s="55"/>
      <c r="BV541" s="55"/>
      <c r="BW541" s="55"/>
      <c r="BX541" s="55"/>
      <c r="BY541" s="55"/>
    </row>
    <row r="542">
      <c r="I542" s="216"/>
      <c r="J542" s="216"/>
      <c r="K542" s="216"/>
      <c r="AX542" s="55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55"/>
      <c r="BT542" s="55"/>
      <c r="BU542" s="55"/>
      <c r="BV542" s="55"/>
      <c r="BW542" s="55"/>
      <c r="BX542" s="55"/>
      <c r="BY542" s="55"/>
    </row>
    <row r="543">
      <c r="I543" s="216"/>
      <c r="J543" s="216"/>
      <c r="K543" s="216"/>
      <c r="AX543" s="55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55"/>
      <c r="BT543" s="55"/>
      <c r="BU543" s="55"/>
      <c r="BV543" s="55"/>
      <c r="BW543" s="55"/>
      <c r="BX543" s="55"/>
      <c r="BY543" s="55"/>
    </row>
    <row r="544">
      <c r="I544" s="216"/>
      <c r="J544" s="216"/>
      <c r="K544" s="216"/>
      <c r="AX544" s="55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55"/>
      <c r="BT544" s="55"/>
      <c r="BU544" s="55"/>
      <c r="BV544" s="55"/>
      <c r="BW544" s="55"/>
      <c r="BX544" s="55"/>
      <c r="BY544" s="55"/>
    </row>
    <row r="545">
      <c r="I545" s="216"/>
      <c r="J545" s="216"/>
      <c r="K545" s="216"/>
      <c r="AX545" s="55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55"/>
      <c r="BT545" s="55"/>
      <c r="BU545" s="55"/>
      <c r="BV545" s="55"/>
      <c r="BW545" s="55"/>
      <c r="BX545" s="55"/>
      <c r="BY545" s="55"/>
    </row>
    <row r="546">
      <c r="I546" s="216"/>
      <c r="J546" s="216"/>
      <c r="K546" s="216"/>
      <c r="AX546" s="55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55"/>
      <c r="BT546" s="55"/>
      <c r="BU546" s="55"/>
      <c r="BV546" s="55"/>
      <c r="BW546" s="55"/>
      <c r="BX546" s="55"/>
      <c r="BY546" s="55"/>
    </row>
    <row r="547">
      <c r="I547" s="216"/>
      <c r="J547" s="216"/>
      <c r="K547" s="216"/>
      <c r="AX547" s="55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55"/>
      <c r="BT547" s="55"/>
      <c r="BU547" s="55"/>
      <c r="BV547" s="55"/>
      <c r="BW547" s="55"/>
      <c r="BX547" s="55"/>
      <c r="BY547" s="55"/>
    </row>
    <row r="548">
      <c r="I548" s="216"/>
      <c r="J548" s="216"/>
      <c r="K548" s="216"/>
      <c r="AX548" s="55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55"/>
      <c r="BT548" s="55"/>
      <c r="BU548" s="55"/>
      <c r="BV548" s="55"/>
      <c r="BW548" s="55"/>
      <c r="BX548" s="55"/>
      <c r="BY548" s="55"/>
    </row>
    <row r="549">
      <c r="I549" s="216"/>
      <c r="J549" s="216"/>
      <c r="K549" s="216"/>
      <c r="AX549" s="55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55"/>
      <c r="BT549" s="55"/>
      <c r="BU549" s="55"/>
      <c r="BV549" s="55"/>
      <c r="BW549" s="55"/>
      <c r="BX549" s="55"/>
      <c r="BY549" s="55"/>
    </row>
    <row r="550">
      <c r="I550" s="216"/>
      <c r="J550" s="216"/>
      <c r="K550" s="216"/>
      <c r="AX550" s="55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55"/>
      <c r="BT550" s="55"/>
      <c r="BU550" s="55"/>
      <c r="BV550" s="55"/>
      <c r="BW550" s="55"/>
      <c r="BX550" s="55"/>
      <c r="BY550" s="55"/>
    </row>
    <row r="551">
      <c r="I551" s="216"/>
      <c r="J551" s="216"/>
      <c r="K551" s="216"/>
      <c r="AX551" s="55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55"/>
      <c r="BT551" s="55"/>
      <c r="BU551" s="55"/>
      <c r="BV551" s="55"/>
      <c r="BW551" s="55"/>
      <c r="BX551" s="55"/>
      <c r="BY551" s="55"/>
    </row>
    <row r="552">
      <c r="I552" s="216"/>
      <c r="J552" s="216"/>
      <c r="K552" s="216"/>
      <c r="AX552" s="55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55"/>
      <c r="BT552" s="55"/>
      <c r="BU552" s="55"/>
      <c r="BV552" s="55"/>
      <c r="BW552" s="55"/>
      <c r="BX552" s="55"/>
      <c r="BY552" s="55"/>
    </row>
    <row r="553">
      <c r="I553" s="216"/>
      <c r="J553" s="216"/>
      <c r="K553" s="216"/>
      <c r="AX553" s="55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55"/>
      <c r="BT553" s="55"/>
      <c r="BU553" s="55"/>
      <c r="BV553" s="55"/>
      <c r="BW553" s="55"/>
      <c r="BX553" s="55"/>
      <c r="BY553" s="55"/>
    </row>
    <row r="554">
      <c r="I554" s="216"/>
      <c r="J554" s="216"/>
      <c r="K554" s="216"/>
      <c r="AX554" s="55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55"/>
      <c r="BT554" s="55"/>
      <c r="BU554" s="55"/>
      <c r="BV554" s="55"/>
      <c r="BW554" s="55"/>
      <c r="BX554" s="55"/>
      <c r="BY554" s="55"/>
    </row>
    <row r="555">
      <c r="I555" s="216"/>
      <c r="J555" s="216"/>
      <c r="K555" s="216"/>
      <c r="AX555" s="55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55"/>
      <c r="BT555" s="55"/>
      <c r="BU555" s="55"/>
      <c r="BV555" s="55"/>
      <c r="BW555" s="55"/>
      <c r="BX555" s="55"/>
      <c r="BY555" s="55"/>
    </row>
    <row r="556">
      <c r="I556" s="216"/>
      <c r="J556" s="216"/>
      <c r="K556" s="216"/>
      <c r="AX556" s="55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55"/>
      <c r="BT556" s="55"/>
      <c r="BU556" s="55"/>
      <c r="BV556" s="55"/>
      <c r="BW556" s="55"/>
      <c r="BX556" s="55"/>
      <c r="BY556" s="55"/>
    </row>
    <row r="557">
      <c r="I557" s="216"/>
      <c r="J557" s="216"/>
      <c r="K557" s="216"/>
      <c r="AX557" s="55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55"/>
      <c r="BT557" s="55"/>
      <c r="BU557" s="55"/>
      <c r="BV557" s="55"/>
      <c r="BW557" s="55"/>
      <c r="BX557" s="55"/>
      <c r="BY557" s="55"/>
    </row>
    <row r="558">
      <c r="I558" s="216"/>
      <c r="J558" s="216"/>
      <c r="K558" s="216"/>
      <c r="AX558" s="55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55"/>
      <c r="BT558" s="55"/>
      <c r="BU558" s="55"/>
      <c r="BV558" s="55"/>
      <c r="BW558" s="55"/>
      <c r="BX558" s="55"/>
      <c r="BY558" s="55"/>
    </row>
    <row r="559">
      <c r="I559" s="216"/>
      <c r="J559" s="216"/>
      <c r="K559" s="216"/>
      <c r="AX559" s="55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55"/>
      <c r="BT559" s="55"/>
      <c r="BU559" s="55"/>
      <c r="BV559" s="55"/>
      <c r="BW559" s="55"/>
      <c r="BX559" s="55"/>
      <c r="BY559" s="55"/>
    </row>
    <row r="560">
      <c r="I560" s="216"/>
      <c r="J560" s="216"/>
      <c r="K560" s="216"/>
      <c r="AX560" s="55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55"/>
      <c r="BT560" s="55"/>
      <c r="BU560" s="55"/>
      <c r="BV560" s="55"/>
      <c r="BW560" s="55"/>
      <c r="BX560" s="55"/>
      <c r="BY560" s="55"/>
    </row>
    <row r="561">
      <c r="I561" s="216"/>
      <c r="J561" s="216"/>
      <c r="K561" s="216"/>
      <c r="AX561" s="55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55"/>
      <c r="BT561" s="55"/>
      <c r="BU561" s="55"/>
      <c r="BV561" s="55"/>
      <c r="BW561" s="55"/>
      <c r="BX561" s="55"/>
      <c r="BY561" s="55"/>
    </row>
    <row r="562">
      <c r="I562" s="216"/>
      <c r="J562" s="216"/>
      <c r="K562" s="216"/>
      <c r="AX562" s="55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55"/>
      <c r="BT562" s="55"/>
      <c r="BU562" s="55"/>
      <c r="BV562" s="55"/>
      <c r="BW562" s="55"/>
      <c r="BX562" s="55"/>
      <c r="BY562" s="55"/>
    </row>
    <row r="563">
      <c r="I563" s="216"/>
      <c r="J563" s="216"/>
      <c r="K563" s="216"/>
      <c r="AX563" s="55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55"/>
      <c r="BT563" s="55"/>
      <c r="BU563" s="55"/>
      <c r="BV563" s="55"/>
      <c r="BW563" s="55"/>
      <c r="BX563" s="55"/>
      <c r="BY563" s="55"/>
    </row>
    <row r="564">
      <c r="I564" s="216"/>
      <c r="J564" s="216"/>
      <c r="K564" s="216"/>
      <c r="AX564" s="55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55"/>
      <c r="BT564" s="55"/>
      <c r="BU564" s="55"/>
      <c r="BV564" s="55"/>
      <c r="BW564" s="55"/>
      <c r="BX564" s="55"/>
      <c r="BY564" s="55"/>
    </row>
    <row r="565">
      <c r="I565" s="216"/>
      <c r="J565" s="216"/>
      <c r="K565" s="216"/>
      <c r="AX565" s="55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55"/>
      <c r="BT565" s="55"/>
      <c r="BU565" s="55"/>
      <c r="BV565" s="55"/>
      <c r="BW565" s="55"/>
      <c r="BX565" s="55"/>
      <c r="BY565" s="55"/>
    </row>
    <row r="566">
      <c r="I566" s="216"/>
      <c r="J566" s="216"/>
      <c r="K566" s="216"/>
      <c r="AX566" s="55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55"/>
      <c r="BT566" s="55"/>
      <c r="BU566" s="55"/>
      <c r="BV566" s="55"/>
      <c r="BW566" s="55"/>
      <c r="BX566" s="55"/>
      <c r="BY566" s="55"/>
    </row>
    <row r="567">
      <c r="I567" s="216"/>
      <c r="J567" s="216"/>
      <c r="K567" s="216"/>
      <c r="AX567" s="55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55"/>
      <c r="BT567" s="55"/>
      <c r="BU567" s="55"/>
      <c r="BV567" s="55"/>
      <c r="BW567" s="55"/>
      <c r="BX567" s="55"/>
      <c r="BY567" s="55"/>
    </row>
    <row r="568">
      <c r="I568" s="216"/>
      <c r="J568" s="216"/>
      <c r="K568" s="216"/>
      <c r="AX568" s="55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55"/>
      <c r="BT568" s="55"/>
      <c r="BU568" s="55"/>
      <c r="BV568" s="55"/>
      <c r="BW568" s="55"/>
      <c r="BX568" s="55"/>
      <c r="BY568" s="55"/>
    </row>
    <row r="569">
      <c r="I569" s="216"/>
      <c r="J569" s="216"/>
      <c r="K569" s="216"/>
      <c r="AX569" s="55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55"/>
      <c r="BT569" s="55"/>
      <c r="BU569" s="55"/>
      <c r="BV569" s="55"/>
      <c r="BW569" s="55"/>
      <c r="BX569" s="55"/>
      <c r="BY569" s="55"/>
    </row>
    <row r="570">
      <c r="I570" s="216"/>
      <c r="J570" s="216"/>
      <c r="K570" s="216"/>
      <c r="AX570" s="55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55"/>
      <c r="BT570" s="55"/>
      <c r="BU570" s="55"/>
      <c r="BV570" s="55"/>
      <c r="BW570" s="55"/>
      <c r="BX570" s="55"/>
      <c r="BY570" s="55"/>
    </row>
    <row r="571">
      <c r="I571" s="216"/>
      <c r="J571" s="216"/>
      <c r="K571" s="216"/>
      <c r="AX571" s="55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55"/>
      <c r="BT571" s="55"/>
      <c r="BU571" s="55"/>
      <c r="BV571" s="55"/>
      <c r="BW571" s="55"/>
      <c r="BX571" s="55"/>
      <c r="BY571" s="55"/>
    </row>
    <row r="572">
      <c r="I572" s="216"/>
      <c r="J572" s="216"/>
      <c r="K572" s="216"/>
      <c r="AX572" s="55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55"/>
      <c r="BT572" s="55"/>
      <c r="BU572" s="55"/>
      <c r="BV572" s="55"/>
      <c r="BW572" s="55"/>
      <c r="BX572" s="55"/>
      <c r="BY572" s="55"/>
    </row>
    <row r="573">
      <c r="I573" s="216"/>
      <c r="J573" s="216"/>
      <c r="K573" s="216"/>
      <c r="AX573" s="55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55"/>
      <c r="BT573" s="55"/>
      <c r="BU573" s="55"/>
      <c r="BV573" s="55"/>
      <c r="BW573" s="55"/>
      <c r="BX573" s="55"/>
      <c r="BY573" s="55"/>
    </row>
    <row r="574">
      <c r="I574" s="216"/>
      <c r="J574" s="216"/>
      <c r="K574" s="216"/>
      <c r="AX574" s="55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55"/>
      <c r="BT574" s="55"/>
      <c r="BU574" s="55"/>
      <c r="BV574" s="55"/>
      <c r="BW574" s="55"/>
      <c r="BX574" s="55"/>
      <c r="BY574" s="55"/>
    </row>
    <row r="575">
      <c r="I575" s="216"/>
      <c r="J575" s="216"/>
      <c r="K575" s="216"/>
      <c r="AX575" s="55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55"/>
      <c r="BT575" s="55"/>
      <c r="BU575" s="55"/>
      <c r="BV575" s="55"/>
      <c r="BW575" s="55"/>
      <c r="BX575" s="55"/>
      <c r="BY575" s="55"/>
    </row>
    <row r="576">
      <c r="I576" s="216"/>
      <c r="J576" s="216"/>
      <c r="K576" s="216"/>
      <c r="AX576" s="55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55"/>
      <c r="BT576" s="55"/>
      <c r="BU576" s="55"/>
      <c r="BV576" s="55"/>
      <c r="BW576" s="55"/>
      <c r="BX576" s="55"/>
      <c r="BY576" s="55"/>
    </row>
    <row r="577">
      <c r="I577" s="216"/>
      <c r="J577" s="216"/>
      <c r="K577" s="216"/>
      <c r="AX577" s="55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55"/>
      <c r="BT577" s="55"/>
      <c r="BU577" s="55"/>
      <c r="BV577" s="55"/>
      <c r="BW577" s="55"/>
      <c r="BX577" s="55"/>
      <c r="BY577" s="55"/>
    </row>
    <row r="578">
      <c r="I578" s="216"/>
      <c r="J578" s="216"/>
      <c r="K578" s="216"/>
      <c r="AX578" s="55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55"/>
      <c r="BT578" s="55"/>
      <c r="BU578" s="55"/>
      <c r="BV578" s="55"/>
      <c r="BW578" s="55"/>
      <c r="BX578" s="55"/>
      <c r="BY578" s="55"/>
    </row>
    <row r="579">
      <c r="I579" s="216"/>
      <c r="J579" s="216"/>
      <c r="K579" s="216"/>
      <c r="AX579" s="55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55"/>
      <c r="BT579" s="55"/>
      <c r="BU579" s="55"/>
      <c r="BV579" s="55"/>
      <c r="BW579" s="55"/>
      <c r="BX579" s="55"/>
      <c r="BY579" s="55"/>
    </row>
    <row r="580">
      <c r="I580" s="216"/>
      <c r="J580" s="216"/>
      <c r="K580" s="216"/>
      <c r="AX580" s="55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55"/>
      <c r="BT580" s="55"/>
      <c r="BU580" s="55"/>
      <c r="BV580" s="55"/>
      <c r="BW580" s="55"/>
      <c r="BX580" s="55"/>
      <c r="BY580" s="55"/>
    </row>
    <row r="581">
      <c r="I581" s="216"/>
      <c r="J581" s="216"/>
      <c r="K581" s="216"/>
      <c r="AX581" s="55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55"/>
      <c r="BT581" s="55"/>
      <c r="BU581" s="55"/>
      <c r="BV581" s="55"/>
      <c r="BW581" s="55"/>
      <c r="BX581" s="55"/>
      <c r="BY581" s="55"/>
    </row>
    <row r="582">
      <c r="I582" s="216"/>
      <c r="J582" s="216"/>
      <c r="K582" s="216"/>
      <c r="AX582" s="55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55"/>
      <c r="BT582" s="55"/>
      <c r="BU582" s="55"/>
      <c r="BV582" s="55"/>
      <c r="BW582" s="55"/>
      <c r="BX582" s="55"/>
      <c r="BY582" s="55"/>
    </row>
    <row r="583">
      <c r="I583" s="216"/>
      <c r="J583" s="216"/>
      <c r="K583" s="216"/>
      <c r="AX583" s="55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55"/>
      <c r="BT583" s="55"/>
      <c r="BU583" s="55"/>
      <c r="BV583" s="55"/>
      <c r="BW583" s="55"/>
      <c r="BX583" s="55"/>
      <c r="BY583" s="55"/>
    </row>
    <row r="584">
      <c r="I584" s="216"/>
      <c r="J584" s="216"/>
      <c r="K584" s="216"/>
      <c r="AX584" s="55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55"/>
      <c r="BT584" s="55"/>
      <c r="BU584" s="55"/>
      <c r="BV584" s="55"/>
      <c r="BW584" s="55"/>
      <c r="BX584" s="55"/>
      <c r="BY584" s="55"/>
    </row>
    <row r="585">
      <c r="I585" s="216"/>
      <c r="J585" s="216"/>
      <c r="K585" s="216"/>
      <c r="AX585" s="55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55"/>
      <c r="BT585" s="55"/>
      <c r="BU585" s="55"/>
      <c r="BV585" s="55"/>
      <c r="BW585" s="55"/>
      <c r="BX585" s="55"/>
      <c r="BY585" s="55"/>
    </row>
    <row r="586">
      <c r="I586" s="216"/>
      <c r="J586" s="216"/>
      <c r="K586" s="216"/>
      <c r="AX586" s="55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55"/>
      <c r="BT586" s="55"/>
      <c r="BU586" s="55"/>
      <c r="BV586" s="55"/>
      <c r="BW586" s="55"/>
      <c r="BX586" s="55"/>
      <c r="BY586" s="55"/>
    </row>
    <row r="587">
      <c r="I587" s="216"/>
      <c r="J587" s="216"/>
      <c r="K587" s="216"/>
      <c r="AX587" s="55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55"/>
      <c r="BT587" s="55"/>
      <c r="BU587" s="55"/>
      <c r="BV587" s="55"/>
      <c r="BW587" s="55"/>
      <c r="BX587" s="55"/>
      <c r="BY587" s="55"/>
    </row>
    <row r="588">
      <c r="I588" s="216"/>
      <c r="J588" s="216"/>
      <c r="K588" s="216"/>
      <c r="AX588" s="55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55"/>
      <c r="BT588" s="55"/>
      <c r="BU588" s="55"/>
      <c r="BV588" s="55"/>
      <c r="BW588" s="55"/>
      <c r="BX588" s="55"/>
      <c r="BY588" s="55"/>
    </row>
    <row r="589">
      <c r="I589" s="216"/>
      <c r="J589" s="216"/>
      <c r="K589" s="216"/>
      <c r="AX589" s="55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55"/>
      <c r="BT589" s="55"/>
      <c r="BU589" s="55"/>
      <c r="BV589" s="55"/>
      <c r="BW589" s="55"/>
      <c r="BX589" s="55"/>
      <c r="BY589" s="55"/>
    </row>
    <row r="590">
      <c r="I590" s="216"/>
      <c r="J590" s="216"/>
      <c r="K590" s="216"/>
      <c r="AX590" s="55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55"/>
      <c r="BT590" s="55"/>
      <c r="BU590" s="55"/>
      <c r="BV590" s="55"/>
      <c r="BW590" s="55"/>
      <c r="BX590" s="55"/>
      <c r="BY590" s="55"/>
    </row>
    <row r="591">
      <c r="I591" s="216"/>
      <c r="J591" s="216"/>
      <c r="K591" s="216"/>
      <c r="AX591" s="55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55"/>
      <c r="BT591" s="55"/>
      <c r="BU591" s="55"/>
      <c r="BV591" s="55"/>
      <c r="BW591" s="55"/>
      <c r="BX591" s="55"/>
      <c r="BY591" s="55"/>
    </row>
    <row r="592">
      <c r="I592" s="216"/>
      <c r="J592" s="216"/>
      <c r="K592" s="216"/>
      <c r="AX592" s="55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55"/>
      <c r="BT592" s="55"/>
      <c r="BU592" s="55"/>
      <c r="BV592" s="55"/>
      <c r="BW592" s="55"/>
      <c r="BX592" s="55"/>
      <c r="BY592" s="55"/>
    </row>
    <row r="593">
      <c r="I593" s="216"/>
      <c r="J593" s="216"/>
      <c r="K593" s="216"/>
      <c r="AX593" s="55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55"/>
      <c r="BT593" s="55"/>
      <c r="BU593" s="55"/>
      <c r="BV593" s="55"/>
      <c r="BW593" s="55"/>
      <c r="BX593" s="55"/>
      <c r="BY593" s="55"/>
    </row>
    <row r="594">
      <c r="I594" s="216"/>
      <c r="J594" s="216"/>
      <c r="K594" s="216"/>
      <c r="AX594" s="55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55"/>
      <c r="BT594" s="55"/>
      <c r="BU594" s="55"/>
      <c r="BV594" s="55"/>
      <c r="BW594" s="55"/>
      <c r="BX594" s="55"/>
      <c r="BY594" s="55"/>
    </row>
    <row r="595">
      <c r="I595" s="216"/>
      <c r="J595" s="216"/>
      <c r="K595" s="216"/>
      <c r="AX595" s="55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55"/>
      <c r="BT595" s="55"/>
      <c r="BU595" s="55"/>
      <c r="BV595" s="55"/>
      <c r="BW595" s="55"/>
      <c r="BX595" s="55"/>
      <c r="BY595" s="55"/>
    </row>
    <row r="596">
      <c r="I596" s="216"/>
      <c r="J596" s="216"/>
      <c r="K596" s="216"/>
      <c r="AX596" s="55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55"/>
      <c r="BT596" s="55"/>
      <c r="BU596" s="55"/>
      <c r="BV596" s="55"/>
      <c r="BW596" s="55"/>
      <c r="BX596" s="55"/>
      <c r="BY596" s="55"/>
    </row>
    <row r="597">
      <c r="I597" s="216"/>
      <c r="J597" s="216"/>
      <c r="K597" s="216"/>
      <c r="AX597" s="55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55"/>
      <c r="BT597" s="55"/>
      <c r="BU597" s="55"/>
      <c r="BV597" s="55"/>
      <c r="BW597" s="55"/>
      <c r="BX597" s="55"/>
      <c r="BY597" s="55"/>
    </row>
    <row r="598">
      <c r="I598" s="216"/>
      <c r="J598" s="216"/>
      <c r="K598" s="216"/>
      <c r="AX598" s="55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55"/>
      <c r="BT598" s="55"/>
      <c r="BU598" s="55"/>
      <c r="BV598" s="55"/>
      <c r="BW598" s="55"/>
      <c r="BX598" s="55"/>
      <c r="BY598" s="55"/>
    </row>
    <row r="599">
      <c r="I599" s="216"/>
      <c r="J599" s="216"/>
      <c r="K599" s="216"/>
      <c r="AX599" s="55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55"/>
      <c r="BT599" s="55"/>
      <c r="BU599" s="55"/>
      <c r="BV599" s="55"/>
      <c r="BW599" s="55"/>
      <c r="BX599" s="55"/>
      <c r="BY599" s="55"/>
    </row>
    <row r="600">
      <c r="I600" s="216"/>
      <c r="J600" s="216"/>
      <c r="K600" s="216"/>
      <c r="AX600" s="55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55"/>
      <c r="BT600" s="55"/>
      <c r="BU600" s="55"/>
      <c r="BV600" s="55"/>
      <c r="BW600" s="55"/>
      <c r="BX600" s="55"/>
      <c r="BY600" s="55"/>
    </row>
    <row r="601">
      <c r="I601" s="216"/>
      <c r="J601" s="216"/>
      <c r="K601" s="216"/>
      <c r="AX601" s="55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55"/>
      <c r="BT601" s="55"/>
      <c r="BU601" s="55"/>
      <c r="BV601" s="55"/>
      <c r="BW601" s="55"/>
      <c r="BX601" s="55"/>
      <c r="BY601" s="55"/>
    </row>
    <row r="602">
      <c r="I602" s="216"/>
      <c r="J602" s="216"/>
      <c r="K602" s="216"/>
      <c r="AX602" s="55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55"/>
      <c r="BT602" s="55"/>
      <c r="BU602" s="55"/>
      <c r="BV602" s="55"/>
      <c r="BW602" s="55"/>
      <c r="BX602" s="55"/>
      <c r="BY602" s="55"/>
    </row>
    <row r="603">
      <c r="I603" s="216"/>
      <c r="J603" s="216"/>
      <c r="K603" s="216"/>
      <c r="AX603" s="55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55"/>
      <c r="BT603" s="55"/>
      <c r="BU603" s="55"/>
      <c r="BV603" s="55"/>
      <c r="BW603" s="55"/>
      <c r="BX603" s="55"/>
      <c r="BY603" s="55"/>
    </row>
    <row r="604">
      <c r="I604" s="216"/>
      <c r="J604" s="216"/>
      <c r="K604" s="216"/>
      <c r="AX604" s="55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55"/>
      <c r="BT604" s="55"/>
      <c r="BU604" s="55"/>
      <c r="BV604" s="55"/>
      <c r="BW604" s="55"/>
      <c r="BX604" s="55"/>
      <c r="BY604" s="55"/>
    </row>
    <row r="605">
      <c r="I605" s="216"/>
      <c r="J605" s="216"/>
      <c r="K605" s="216"/>
      <c r="AX605" s="55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55"/>
      <c r="BT605" s="55"/>
      <c r="BU605" s="55"/>
      <c r="BV605" s="55"/>
      <c r="BW605" s="55"/>
      <c r="BX605" s="55"/>
      <c r="BY605" s="55"/>
    </row>
    <row r="606">
      <c r="I606" s="216"/>
      <c r="J606" s="216"/>
      <c r="K606" s="216"/>
      <c r="AX606" s="55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55"/>
      <c r="BT606" s="55"/>
      <c r="BU606" s="55"/>
      <c r="BV606" s="55"/>
      <c r="BW606" s="55"/>
      <c r="BX606" s="55"/>
      <c r="BY606" s="55"/>
    </row>
    <row r="607">
      <c r="I607" s="216"/>
      <c r="J607" s="216"/>
      <c r="K607" s="216"/>
      <c r="AX607" s="55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55"/>
      <c r="BT607" s="55"/>
      <c r="BU607" s="55"/>
      <c r="BV607" s="55"/>
      <c r="BW607" s="55"/>
      <c r="BX607" s="55"/>
      <c r="BY607" s="55"/>
    </row>
    <row r="608">
      <c r="I608" s="216"/>
      <c r="J608" s="216"/>
      <c r="K608" s="216"/>
      <c r="AX608" s="55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55"/>
      <c r="BT608" s="55"/>
      <c r="BU608" s="55"/>
      <c r="BV608" s="55"/>
      <c r="BW608" s="55"/>
      <c r="BX608" s="55"/>
      <c r="BY608" s="55"/>
    </row>
    <row r="609">
      <c r="I609" s="216"/>
      <c r="J609" s="216"/>
      <c r="K609" s="216"/>
      <c r="AX609" s="55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55"/>
      <c r="BT609" s="55"/>
      <c r="BU609" s="55"/>
      <c r="BV609" s="55"/>
      <c r="BW609" s="55"/>
      <c r="BX609" s="55"/>
      <c r="BY609" s="55"/>
    </row>
    <row r="610">
      <c r="I610" s="216"/>
      <c r="J610" s="216"/>
      <c r="K610" s="216"/>
      <c r="AX610" s="55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55"/>
      <c r="BT610" s="55"/>
      <c r="BU610" s="55"/>
      <c r="BV610" s="55"/>
      <c r="BW610" s="55"/>
      <c r="BX610" s="55"/>
      <c r="BY610" s="55"/>
    </row>
    <row r="611">
      <c r="I611" s="216"/>
      <c r="J611" s="216"/>
      <c r="K611" s="216"/>
      <c r="AX611" s="55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55"/>
      <c r="BT611" s="55"/>
      <c r="BU611" s="55"/>
      <c r="BV611" s="55"/>
      <c r="BW611" s="55"/>
      <c r="BX611" s="55"/>
      <c r="BY611" s="55"/>
    </row>
    <row r="612">
      <c r="I612" s="216"/>
      <c r="J612" s="216"/>
      <c r="K612" s="216"/>
      <c r="AX612" s="55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55"/>
      <c r="BT612" s="55"/>
      <c r="BU612" s="55"/>
      <c r="BV612" s="55"/>
      <c r="BW612" s="55"/>
      <c r="BX612" s="55"/>
      <c r="BY612" s="55"/>
    </row>
    <row r="613">
      <c r="I613" s="216"/>
      <c r="J613" s="216"/>
      <c r="K613" s="216"/>
      <c r="AX613" s="55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55"/>
      <c r="BT613" s="55"/>
      <c r="BU613" s="55"/>
      <c r="BV613" s="55"/>
      <c r="BW613" s="55"/>
      <c r="BX613" s="55"/>
      <c r="BY613" s="55"/>
    </row>
    <row r="614">
      <c r="I614" s="216"/>
      <c r="J614" s="216"/>
      <c r="K614" s="216"/>
      <c r="AX614" s="55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55"/>
      <c r="BT614" s="55"/>
      <c r="BU614" s="55"/>
      <c r="BV614" s="55"/>
      <c r="BW614" s="55"/>
      <c r="BX614" s="55"/>
      <c r="BY614" s="55"/>
    </row>
    <row r="615">
      <c r="I615" s="216"/>
      <c r="J615" s="216"/>
      <c r="K615" s="216"/>
      <c r="AX615" s="55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55"/>
      <c r="BT615" s="55"/>
      <c r="BU615" s="55"/>
      <c r="BV615" s="55"/>
      <c r="BW615" s="55"/>
      <c r="BX615" s="55"/>
      <c r="BY615" s="55"/>
    </row>
    <row r="616">
      <c r="I616" s="216"/>
      <c r="J616" s="216"/>
      <c r="K616" s="216"/>
      <c r="AX616" s="55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55"/>
      <c r="BT616" s="55"/>
      <c r="BU616" s="55"/>
      <c r="BV616" s="55"/>
      <c r="BW616" s="55"/>
      <c r="BX616" s="55"/>
      <c r="BY616" s="55"/>
    </row>
    <row r="617">
      <c r="I617" s="216"/>
      <c r="J617" s="216"/>
      <c r="K617" s="216"/>
      <c r="AX617" s="55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55"/>
      <c r="BT617" s="55"/>
      <c r="BU617" s="55"/>
      <c r="BV617" s="55"/>
      <c r="BW617" s="55"/>
      <c r="BX617" s="55"/>
      <c r="BY617" s="55"/>
    </row>
    <row r="618">
      <c r="I618" s="216"/>
      <c r="J618" s="216"/>
      <c r="K618" s="216"/>
      <c r="AX618" s="55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55"/>
      <c r="BT618" s="55"/>
      <c r="BU618" s="55"/>
      <c r="BV618" s="55"/>
      <c r="BW618" s="55"/>
      <c r="BX618" s="55"/>
      <c r="BY618" s="55"/>
    </row>
    <row r="619">
      <c r="I619" s="216"/>
      <c r="J619" s="216"/>
      <c r="K619" s="216"/>
      <c r="AX619" s="55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55"/>
      <c r="BT619" s="55"/>
      <c r="BU619" s="55"/>
      <c r="BV619" s="55"/>
      <c r="BW619" s="55"/>
      <c r="BX619" s="55"/>
      <c r="BY619" s="55"/>
    </row>
    <row r="620">
      <c r="I620" s="216"/>
      <c r="J620" s="216"/>
      <c r="K620" s="216"/>
      <c r="AX620" s="55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55"/>
      <c r="BT620" s="55"/>
      <c r="BU620" s="55"/>
      <c r="BV620" s="55"/>
      <c r="BW620" s="55"/>
      <c r="BX620" s="55"/>
      <c r="BY620" s="55"/>
    </row>
    <row r="621">
      <c r="I621" s="216"/>
      <c r="J621" s="216"/>
      <c r="K621" s="216"/>
      <c r="AX621" s="55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55"/>
      <c r="BT621" s="55"/>
      <c r="BU621" s="55"/>
      <c r="BV621" s="55"/>
      <c r="BW621" s="55"/>
      <c r="BX621" s="55"/>
      <c r="BY621" s="55"/>
    </row>
    <row r="622">
      <c r="I622" s="216"/>
      <c r="J622" s="216"/>
      <c r="K622" s="216"/>
      <c r="AX622" s="55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55"/>
      <c r="BT622" s="55"/>
      <c r="BU622" s="55"/>
      <c r="BV622" s="55"/>
      <c r="BW622" s="55"/>
      <c r="BX622" s="55"/>
      <c r="BY622" s="55"/>
    </row>
    <row r="623">
      <c r="I623" s="216"/>
      <c r="J623" s="216"/>
      <c r="K623" s="216"/>
      <c r="AX623" s="55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55"/>
      <c r="BT623" s="55"/>
      <c r="BU623" s="55"/>
      <c r="BV623" s="55"/>
      <c r="BW623" s="55"/>
      <c r="BX623" s="55"/>
      <c r="BY623" s="55"/>
    </row>
    <row r="624">
      <c r="I624" s="216"/>
      <c r="J624" s="216"/>
      <c r="K624" s="216"/>
      <c r="AX624" s="55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55"/>
      <c r="BT624" s="55"/>
      <c r="BU624" s="55"/>
      <c r="BV624" s="55"/>
      <c r="BW624" s="55"/>
      <c r="BX624" s="55"/>
      <c r="BY624" s="55"/>
    </row>
    <row r="625">
      <c r="I625" s="216"/>
      <c r="J625" s="216"/>
      <c r="K625" s="216"/>
      <c r="AX625" s="55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55"/>
      <c r="BT625" s="55"/>
      <c r="BU625" s="55"/>
      <c r="BV625" s="55"/>
      <c r="BW625" s="55"/>
      <c r="BX625" s="55"/>
      <c r="BY625" s="55"/>
    </row>
    <row r="626">
      <c r="I626" s="216"/>
      <c r="J626" s="216"/>
      <c r="K626" s="216"/>
      <c r="AX626" s="55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55"/>
      <c r="BT626" s="55"/>
      <c r="BU626" s="55"/>
      <c r="BV626" s="55"/>
      <c r="BW626" s="55"/>
      <c r="BX626" s="55"/>
      <c r="BY626" s="55"/>
    </row>
    <row r="627">
      <c r="I627" s="216"/>
      <c r="J627" s="216"/>
      <c r="K627" s="216"/>
      <c r="AX627" s="55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55"/>
      <c r="BT627" s="55"/>
      <c r="BU627" s="55"/>
      <c r="BV627" s="55"/>
      <c r="BW627" s="55"/>
      <c r="BX627" s="55"/>
      <c r="BY627" s="55"/>
    </row>
    <row r="628">
      <c r="I628" s="216"/>
      <c r="J628" s="216"/>
      <c r="K628" s="216"/>
      <c r="AX628" s="55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55"/>
      <c r="BT628" s="55"/>
      <c r="BU628" s="55"/>
      <c r="BV628" s="55"/>
      <c r="BW628" s="55"/>
      <c r="BX628" s="55"/>
      <c r="BY628" s="55"/>
    </row>
    <row r="629">
      <c r="I629" s="216"/>
      <c r="J629" s="216"/>
      <c r="K629" s="216"/>
      <c r="AX629" s="55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55"/>
      <c r="BT629" s="55"/>
      <c r="BU629" s="55"/>
      <c r="BV629" s="55"/>
      <c r="BW629" s="55"/>
      <c r="BX629" s="55"/>
      <c r="BY629" s="55"/>
    </row>
    <row r="630">
      <c r="I630" s="216"/>
      <c r="J630" s="216"/>
      <c r="K630" s="216"/>
      <c r="AX630" s="55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55"/>
      <c r="BT630" s="55"/>
      <c r="BU630" s="55"/>
      <c r="BV630" s="55"/>
      <c r="BW630" s="55"/>
      <c r="BX630" s="55"/>
      <c r="BY630" s="55"/>
    </row>
    <row r="631">
      <c r="I631" s="216"/>
      <c r="J631" s="216"/>
      <c r="K631" s="216"/>
      <c r="AX631" s="55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55"/>
      <c r="BT631" s="55"/>
      <c r="BU631" s="55"/>
      <c r="BV631" s="55"/>
      <c r="BW631" s="55"/>
      <c r="BX631" s="55"/>
      <c r="BY631" s="55"/>
    </row>
    <row r="632">
      <c r="I632" s="216"/>
      <c r="J632" s="216"/>
      <c r="K632" s="216"/>
      <c r="AX632" s="55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55"/>
      <c r="BT632" s="55"/>
      <c r="BU632" s="55"/>
      <c r="BV632" s="55"/>
      <c r="BW632" s="55"/>
      <c r="BX632" s="55"/>
      <c r="BY632" s="55"/>
    </row>
    <row r="633">
      <c r="I633" s="216"/>
      <c r="J633" s="216"/>
      <c r="K633" s="216"/>
      <c r="AX633" s="55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55"/>
      <c r="BT633" s="55"/>
      <c r="BU633" s="55"/>
      <c r="BV633" s="55"/>
      <c r="BW633" s="55"/>
      <c r="BX633" s="55"/>
      <c r="BY633" s="55"/>
    </row>
    <row r="634">
      <c r="I634" s="216"/>
      <c r="J634" s="216"/>
      <c r="K634" s="216"/>
      <c r="AX634" s="55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55"/>
      <c r="BT634" s="55"/>
      <c r="BU634" s="55"/>
      <c r="BV634" s="55"/>
      <c r="BW634" s="55"/>
      <c r="BX634" s="55"/>
      <c r="BY634" s="55"/>
    </row>
    <row r="635">
      <c r="I635" s="216"/>
      <c r="J635" s="216"/>
      <c r="K635" s="216"/>
      <c r="AX635" s="55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55"/>
      <c r="BT635" s="55"/>
      <c r="BU635" s="55"/>
      <c r="BV635" s="55"/>
      <c r="BW635" s="55"/>
      <c r="BX635" s="55"/>
      <c r="BY635" s="55"/>
    </row>
    <row r="636">
      <c r="I636" s="216"/>
      <c r="J636" s="216"/>
      <c r="K636" s="216"/>
      <c r="AX636" s="55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55"/>
      <c r="BT636" s="55"/>
      <c r="BU636" s="55"/>
      <c r="BV636" s="55"/>
      <c r="BW636" s="55"/>
      <c r="BX636" s="55"/>
      <c r="BY636" s="55"/>
    </row>
    <row r="637">
      <c r="I637" s="216"/>
      <c r="J637" s="216"/>
      <c r="K637" s="216"/>
      <c r="AX637" s="55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55"/>
      <c r="BT637" s="55"/>
      <c r="BU637" s="55"/>
      <c r="BV637" s="55"/>
      <c r="BW637" s="55"/>
      <c r="BX637" s="55"/>
      <c r="BY637" s="55"/>
    </row>
    <row r="638">
      <c r="I638" s="216"/>
      <c r="J638" s="216"/>
      <c r="K638" s="216"/>
      <c r="AX638" s="55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55"/>
      <c r="BT638" s="55"/>
      <c r="BU638" s="55"/>
      <c r="BV638" s="55"/>
      <c r="BW638" s="55"/>
      <c r="BX638" s="55"/>
      <c r="BY638" s="55"/>
    </row>
    <row r="639">
      <c r="I639" s="216"/>
      <c r="J639" s="216"/>
      <c r="K639" s="216"/>
      <c r="AX639" s="55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55"/>
      <c r="BT639" s="55"/>
      <c r="BU639" s="55"/>
      <c r="BV639" s="55"/>
      <c r="BW639" s="55"/>
      <c r="BX639" s="55"/>
      <c r="BY639" s="55"/>
    </row>
    <row r="640">
      <c r="I640" s="216"/>
      <c r="J640" s="216"/>
      <c r="K640" s="216"/>
      <c r="AX640" s="55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55"/>
      <c r="BT640" s="55"/>
      <c r="BU640" s="55"/>
      <c r="BV640" s="55"/>
      <c r="BW640" s="55"/>
      <c r="BX640" s="55"/>
      <c r="BY640" s="55"/>
    </row>
    <row r="641">
      <c r="I641" s="216"/>
      <c r="J641" s="216"/>
      <c r="K641" s="216"/>
      <c r="AX641" s="55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55"/>
      <c r="BT641" s="55"/>
      <c r="BU641" s="55"/>
      <c r="BV641" s="55"/>
      <c r="BW641" s="55"/>
      <c r="BX641" s="55"/>
      <c r="BY641" s="55"/>
    </row>
    <row r="642">
      <c r="I642" s="216"/>
      <c r="J642" s="216"/>
      <c r="K642" s="216"/>
      <c r="AX642" s="55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55"/>
      <c r="BT642" s="55"/>
      <c r="BU642" s="55"/>
      <c r="BV642" s="55"/>
      <c r="BW642" s="55"/>
      <c r="BX642" s="55"/>
      <c r="BY642" s="55"/>
    </row>
    <row r="643">
      <c r="I643" s="216"/>
      <c r="J643" s="216"/>
      <c r="K643" s="216"/>
      <c r="AX643" s="55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55"/>
      <c r="BT643" s="55"/>
      <c r="BU643" s="55"/>
      <c r="BV643" s="55"/>
      <c r="BW643" s="55"/>
      <c r="BX643" s="55"/>
      <c r="BY643" s="55"/>
    </row>
    <row r="644">
      <c r="I644" s="216"/>
      <c r="J644" s="216"/>
      <c r="K644" s="216"/>
      <c r="AX644" s="55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55"/>
      <c r="BT644" s="55"/>
      <c r="BU644" s="55"/>
      <c r="BV644" s="55"/>
      <c r="BW644" s="55"/>
      <c r="BX644" s="55"/>
      <c r="BY644" s="55"/>
    </row>
    <row r="645">
      <c r="I645" s="216"/>
      <c r="J645" s="216"/>
      <c r="K645" s="216"/>
      <c r="AX645" s="55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55"/>
      <c r="BT645" s="55"/>
      <c r="BU645" s="55"/>
      <c r="BV645" s="55"/>
      <c r="BW645" s="55"/>
      <c r="BX645" s="55"/>
      <c r="BY645" s="55"/>
    </row>
    <row r="646">
      <c r="I646" s="216"/>
      <c r="J646" s="216"/>
      <c r="K646" s="216"/>
      <c r="AX646" s="55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55"/>
      <c r="BT646" s="55"/>
      <c r="BU646" s="55"/>
      <c r="BV646" s="55"/>
      <c r="BW646" s="55"/>
      <c r="BX646" s="55"/>
      <c r="BY646" s="55"/>
    </row>
    <row r="647">
      <c r="I647" s="216"/>
      <c r="J647" s="216"/>
      <c r="K647" s="216"/>
      <c r="AX647" s="55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55"/>
      <c r="BT647" s="55"/>
      <c r="BU647" s="55"/>
      <c r="BV647" s="55"/>
      <c r="BW647" s="55"/>
      <c r="BX647" s="55"/>
      <c r="BY647" s="55"/>
    </row>
    <row r="648">
      <c r="I648" s="216"/>
      <c r="J648" s="216"/>
      <c r="K648" s="216"/>
      <c r="AX648" s="55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55"/>
      <c r="BT648" s="55"/>
      <c r="BU648" s="55"/>
      <c r="BV648" s="55"/>
      <c r="BW648" s="55"/>
      <c r="BX648" s="55"/>
      <c r="BY648" s="55"/>
    </row>
    <row r="649">
      <c r="I649" s="216"/>
      <c r="J649" s="216"/>
      <c r="K649" s="216"/>
      <c r="AX649" s="55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55"/>
      <c r="BT649" s="55"/>
      <c r="BU649" s="55"/>
      <c r="BV649" s="55"/>
      <c r="BW649" s="55"/>
      <c r="BX649" s="55"/>
      <c r="BY649" s="55"/>
    </row>
    <row r="650">
      <c r="I650" s="216"/>
      <c r="J650" s="216"/>
      <c r="K650" s="216"/>
      <c r="AX650" s="55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55"/>
      <c r="BT650" s="55"/>
      <c r="BU650" s="55"/>
      <c r="BV650" s="55"/>
      <c r="BW650" s="55"/>
      <c r="BX650" s="55"/>
      <c r="BY650" s="55"/>
    </row>
    <row r="651">
      <c r="I651" s="216"/>
      <c r="J651" s="216"/>
      <c r="K651" s="216"/>
      <c r="AX651" s="55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55"/>
      <c r="BT651" s="55"/>
      <c r="BU651" s="55"/>
      <c r="BV651" s="55"/>
      <c r="BW651" s="55"/>
      <c r="BX651" s="55"/>
      <c r="BY651" s="55"/>
    </row>
    <row r="652">
      <c r="I652" s="216"/>
      <c r="J652" s="216"/>
      <c r="K652" s="216"/>
      <c r="AX652" s="55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55"/>
      <c r="BT652" s="55"/>
      <c r="BU652" s="55"/>
      <c r="BV652" s="55"/>
      <c r="BW652" s="55"/>
      <c r="BX652" s="55"/>
      <c r="BY652" s="55"/>
    </row>
    <row r="653">
      <c r="I653" s="216"/>
      <c r="J653" s="216"/>
      <c r="K653" s="216"/>
      <c r="AX653" s="55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55"/>
      <c r="BT653" s="55"/>
      <c r="BU653" s="55"/>
      <c r="BV653" s="55"/>
      <c r="BW653" s="55"/>
      <c r="BX653" s="55"/>
      <c r="BY653" s="55"/>
    </row>
    <row r="654">
      <c r="I654" s="216"/>
      <c r="J654" s="216"/>
      <c r="K654" s="216"/>
      <c r="AX654" s="55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55"/>
      <c r="BT654" s="55"/>
      <c r="BU654" s="55"/>
      <c r="BV654" s="55"/>
      <c r="BW654" s="55"/>
      <c r="BX654" s="55"/>
      <c r="BY654" s="55"/>
    </row>
    <row r="655">
      <c r="I655" s="216"/>
      <c r="J655" s="216"/>
      <c r="K655" s="216"/>
      <c r="AX655" s="55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55"/>
      <c r="BT655" s="55"/>
      <c r="BU655" s="55"/>
      <c r="BV655" s="55"/>
      <c r="BW655" s="55"/>
      <c r="BX655" s="55"/>
      <c r="BY655" s="55"/>
    </row>
    <row r="656">
      <c r="I656" s="216"/>
      <c r="J656" s="216"/>
      <c r="K656" s="216"/>
      <c r="AX656" s="55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55"/>
      <c r="BT656" s="55"/>
      <c r="BU656" s="55"/>
      <c r="BV656" s="55"/>
      <c r="BW656" s="55"/>
      <c r="BX656" s="55"/>
      <c r="BY656" s="55"/>
    </row>
    <row r="657">
      <c r="I657" s="216"/>
      <c r="J657" s="216"/>
      <c r="K657" s="216"/>
      <c r="AX657" s="55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55"/>
      <c r="BT657" s="55"/>
      <c r="BU657" s="55"/>
      <c r="BV657" s="55"/>
      <c r="BW657" s="55"/>
      <c r="BX657" s="55"/>
      <c r="BY657" s="55"/>
    </row>
    <row r="658">
      <c r="I658" s="216"/>
      <c r="J658" s="216"/>
      <c r="K658" s="216"/>
      <c r="AX658" s="55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55"/>
      <c r="BT658" s="55"/>
      <c r="BU658" s="55"/>
      <c r="BV658" s="55"/>
      <c r="BW658" s="55"/>
      <c r="BX658" s="55"/>
      <c r="BY658" s="55"/>
    </row>
    <row r="659">
      <c r="I659" s="216"/>
      <c r="J659" s="216"/>
      <c r="K659" s="216"/>
      <c r="AX659" s="55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55"/>
      <c r="BT659" s="55"/>
      <c r="BU659" s="55"/>
      <c r="BV659" s="55"/>
      <c r="BW659" s="55"/>
      <c r="BX659" s="55"/>
      <c r="BY659" s="55"/>
    </row>
    <row r="660">
      <c r="I660" s="216"/>
      <c r="J660" s="216"/>
      <c r="K660" s="216"/>
      <c r="AX660" s="55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55"/>
      <c r="BT660" s="55"/>
      <c r="BU660" s="55"/>
      <c r="BV660" s="55"/>
      <c r="BW660" s="55"/>
      <c r="BX660" s="55"/>
      <c r="BY660" s="55"/>
    </row>
    <row r="661">
      <c r="I661" s="216"/>
      <c r="J661" s="216"/>
      <c r="K661" s="216"/>
      <c r="AX661" s="55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55"/>
      <c r="BT661" s="55"/>
      <c r="BU661" s="55"/>
      <c r="BV661" s="55"/>
      <c r="BW661" s="55"/>
      <c r="BX661" s="55"/>
      <c r="BY661" s="55"/>
    </row>
    <row r="662">
      <c r="I662" s="216"/>
      <c r="J662" s="216"/>
      <c r="K662" s="216"/>
      <c r="AX662" s="55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55"/>
      <c r="BT662" s="55"/>
      <c r="BU662" s="55"/>
      <c r="BV662" s="55"/>
      <c r="BW662" s="55"/>
      <c r="BX662" s="55"/>
      <c r="BY662" s="55"/>
    </row>
    <row r="663">
      <c r="I663" s="216"/>
      <c r="J663" s="216"/>
      <c r="K663" s="216"/>
      <c r="AX663" s="55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55"/>
      <c r="BT663" s="55"/>
      <c r="BU663" s="55"/>
      <c r="BV663" s="55"/>
      <c r="BW663" s="55"/>
      <c r="BX663" s="55"/>
      <c r="BY663" s="55"/>
    </row>
    <row r="664">
      <c r="I664" s="216"/>
      <c r="J664" s="216"/>
      <c r="K664" s="216"/>
      <c r="AX664" s="55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55"/>
      <c r="BT664" s="55"/>
      <c r="BU664" s="55"/>
      <c r="BV664" s="55"/>
      <c r="BW664" s="55"/>
      <c r="BX664" s="55"/>
      <c r="BY664" s="55"/>
    </row>
    <row r="665">
      <c r="I665" s="216"/>
      <c r="J665" s="216"/>
      <c r="K665" s="216"/>
      <c r="AX665" s="55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55"/>
      <c r="BT665" s="55"/>
      <c r="BU665" s="55"/>
      <c r="BV665" s="55"/>
      <c r="BW665" s="55"/>
      <c r="BX665" s="55"/>
      <c r="BY665" s="55"/>
    </row>
    <row r="666">
      <c r="I666" s="216"/>
      <c r="J666" s="216"/>
      <c r="K666" s="216"/>
      <c r="AX666" s="55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55"/>
      <c r="BT666" s="55"/>
      <c r="BU666" s="55"/>
      <c r="BV666" s="55"/>
      <c r="BW666" s="55"/>
      <c r="BX666" s="55"/>
      <c r="BY666" s="55"/>
    </row>
    <row r="667">
      <c r="I667" s="216"/>
      <c r="J667" s="216"/>
      <c r="K667" s="216"/>
      <c r="AX667" s="55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55"/>
      <c r="BT667" s="55"/>
      <c r="BU667" s="55"/>
      <c r="BV667" s="55"/>
      <c r="BW667" s="55"/>
      <c r="BX667" s="55"/>
      <c r="BY667" s="55"/>
    </row>
    <row r="668">
      <c r="I668" s="216"/>
      <c r="J668" s="216"/>
      <c r="K668" s="216"/>
      <c r="AX668" s="55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55"/>
      <c r="BT668" s="55"/>
      <c r="BU668" s="55"/>
      <c r="BV668" s="55"/>
      <c r="BW668" s="55"/>
      <c r="BX668" s="55"/>
      <c r="BY668" s="55"/>
    </row>
    <row r="669">
      <c r="I669" s="216"/>
      <c r="J669" s="216"/>
      <c r="K669" s="216"/>
      <c r="AX669" s="55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55"/>
      <c r="BT669" s="55"/>
      <c r="BU669" s="55"/>
      <c r="BV669" s="55"/>
      <c r="BW669" s="55"/>
      <c r="BX669" s="55"/>
      <c r="BY669" s="55"/>
    </row>
    <row r="670">
      <c r="I670" s="216"/>
      <c r="J670" s="216"/>
      <c r="K670" s="216"/>
      <c r="AX670" s="55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55"/>
      <c r="BT670" s="55"/>
      <c r="BU670" s="55"/>
      <c r="BV670" s="55"/>
      <c r="BW670" s="55"/>
      <c r="BX670" s="55"/>
      <c r="BY670" s="55"/>
    </row>
    <row r="671">
      <c r="I671" s="216"/>
      <c r="J671" s="216"/>
      <c r="K671" s="216"/>
      <c r="AX671" s="55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55"/>
      <c r="BT671" s="55"/>
      <c r="BU671" s="55"/>
      <c r="BV671" s="55"/>
      <c r="BW671" s="55"/>
      <c r="BX671" s="55"/>
      <c r="BY671" s="55"/>
    </row>
    <row r="672">
      <c r="I672" s="216"/>
      <c r="J672" s="216"/>
      <c r="K672" s="216"/>
      <c r="AX672" s="55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55"/>
      <c r="BT672" s="55"/>
      <c r="BU672" s="55"/>
      <c r="BV672" s="55"/>
      <c r="BW672" s="55"/>
      <c r="BX672" s="55"/>
      <c r="BY672" s="55"/>
    </row>
    <row r="673">
      <c r="I673" s="216"/>
      <c r="J673" s="216"/>
      <c r="K673" s="216"/>
      <c r="AX673" s="55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55"/>
      <c r="BT673" s="55"/>
      <c r="BU673" s="55"/>
      <c r="BV673" s="55"/>
      <c r="BW673" s="55"/>
      <c r="BX673" s="55"/>
      <c r="BY673" s="55"/>
    </row>
    <row r="674">
      <c r="I674" s="216"/>
      <c r="J674" s="216"/>
      <c r="K674" s="216"/>
      <c r="AX674" s="55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55"/>
      <c r="BT674" s="55"/>
      <c r="BU674" s="55"/>
      <c r="BV674" s="55"/>
      <c r="BW674" s="55"/>
      <c r="BX674" s="55"/>
      <c r="BY674" s="55"/>
    </row>
    <row r="675">
      <c r="I675" s="216"/>
      <c r="J675" s="216"/>
      <c r="K675" s="216"/>
      <c r="AX675" s="55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55"/>
      <c r="BT675" s="55"/>
      <c r="BU675" s="55"/>
      <c r="BV675" s="55"/>
      <c r="BW675" s="55"/>
      <c r="BX675" s="55"/>
      <c r="BY675" s="55"/>
    </row>
    <row r="676">
      <c r="I676" s="216"/>
      <c r="J676" s="216"/>
      <c r="K676" s="216"/>
      <c r="AX676" s="55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55"/>
      <c r="BT676" s="55"/>
      <c r="BU676" s="55"/>
      <c r="BV676" s="55"/>
      <c r="BW676" s="55"/>
      <c r="BX676" s="55"/>
      <c r="BY676" s="55"/>
    </row>
    <row r="677">
      <c r="I677" s="216"/>
      <c r="J677" s="216"/>
      <c r="K677" s="216"/>
      <c r="AX677" s="55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55"/>
      <c r="BT677" s="55"/>
      <c r="BU677" s="55"/>
      <c r="BV677" s="55"/>
      <c r="BW677" s="55"/>
      <c r="BX677" s="55"/>
      <c r="BY677" s="55"/>
    </row>
    <row r="678">
      <c r="I678" s="216"/>
      <c r="J678" s="216"/>
      <c r="K678" s="216"/>
      <c r="AX678" s="55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55"/>
      <c r="BT678" s="55"/>
      <c r="BU678" s="55"/>
      <c r="BV678" s="55"/>
      <c r="BW678" s="55"/>
      <c r="BX678" s="55"/>
      <c r="BY678" s="55"/>
    </row>
    <row r="679">
      <c r="I679" s="216"/>
      <c r="J679" s="216"/>
      <c r="K679" s="216"/>
      <c r="AX679" s="55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55"/>
      <c r="BT679" s="55"/>
      <c r="BU679" s="55"/>
      <c r="BV679" s="55"/>
      <c r="BW679" s="55"/>
      <c r="BX679" s="55"/>
      <c r="BY679" s="55"/>
    </row>
    <row r="680">
      <c r="I680" s="216"/>
      <c r="J680" s="216"/>
      <c r="K680" s="216"/>
      <c r="AX680" s="55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55"/>
      <c r="BT680" s="55"/>
      <c r="BU680" s="55"/>
      <c r="BV680" s="55"/>
      <c r="BW680" s="55"/>
      <c r="BX680" s="55"/>
      <c r="BY680" s="55"/>
    </row>
    <row r="681">
      <c r="I681" s="216"/>
      <c r="J681" s="216"/>
      <c r="K681" s="216"/>
      <c r="AX681" s="55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55"/>
      <c r="BT681" s="55"/>
      <c r="BU681" s="55"/>
      <c r="BV681" s="55"/>
      <c r="BW681" s="55"/>
      <c r="BX681" s="55"/>
      <c r="BY681" s="55"/>
    </row>
    <row r="682">
      <c r="I682" s="216"/>
      <c r="J682" s="216"/>
      <c r="K682" s="216"/>
      <c r="AX682" s="55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55"/>
      <c r="BT682" s="55"/>
      <c r="BU682" s="55"/>
      <c r="BV682" s="55"/>
      <c r="BW682" s="55"/>
      <c r="BX682" s="55"/>
      <c r="BY682" s="55"/>
    </row>
    <row r="683">
      <c r="I683" s="216"/>
      <c r="J683" s="216"/>
      <c r="K683" s="216"/>
      <c r="AX683" s="55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55"/>
      <c r="BT683" s="55"/>
      <c r="BU683" s="55"/>
      <c r="BV683" s="55"/>
      <c r="BW683" s="55"/>
      <c r="BX683" s="55"/>
      <c r="BY683" s="55"/>
    </row>
    <row r="684">
      <c r="I684" s="216"/>
      <c r="J684" s="216"/>
      <c r="K684" s="216"/>
      <c r="AX684" s="55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55"/>
      <c r="BT684" s="55"/>
      <c r="BU684" s="55"/>
      <c r="BV684" s="55"/>
      <c r="BW684" s="55"/>
      <c r="BX684" s="55"/>
      <c r="BY684" s="55"/>
    </row>
    <row r="685">
      <c r="I685" s="216"/>
      <c r="J685" s="216"/>
      <c r="K685" s="216"/>
      <c r="AX685" s="55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55"/>
      <c r="BT685" s="55"/>
      <c r="BU685" s="55"/>
      <c r="BV685" s="55"/>
      <c r="BW685" s="55"/>
      <c r="BX685" s="55"/>
      <c r="BY685" s="55"/>
    </row>
    <row r="686">
      <c r="I686" s="216"/>
      <c r="J686" s="216"/>
      <c r="K686" s="216"/>
      <c r="AX686" s="55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55"/>
      <c r="BT686" s="55"/>
      <c r="BU686" s="55"/>
      <c r="BV686" s="55"/>
      <c r="BW686" s="55"/>
      <c r="BX686" s="55"/>
      <c r="BY686" s="55"/>
    </row>
    <row r="687">
      <c r="I687" s="216"/>
      <c r="J687" s="216"/>
      <c r="K687" s="216"/>
      <c r="AX687" s="55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55"/>
      <c r="BT687" s="55"/>
      <c r="BU687" s="55"/>
      <c r="BV687" s="55"/>
      <c r="BW687" s="55"/>
      <c r="BX687" s="55"/>
      <c r="BY687" s="55"/>
    </row>
    <row r="688">
      <c r="I688" s="216"/>
      <c r="J688" s="216"/>
      <c r="K688" s="216"/>
      <c r="AX688" s="55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55"/>
      <c r="BT688" s="55"/>
      <c r="BU688" s="55"/>
      <c r="BV688" s="55"/>
      <c r="BW688" s="55"/>
      <c r="BX688" s="55"/>
      <c r="BY688" s="55"/>
    </row>
    <row r="689">
      <c r="I689" s="216"/>
      <c r="J689" s="216"/>
      <c r="K689" s="216"/>
      <c r="AX689" s="55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55"/>
      <c r="BT689" s="55"/>
      <c r="BU689" s="55"/>
      <c r="BV689" s="55"/>
      <c r="BW689" s="55"/>
      <c r="BX689" s="55"/>
      <c r="BY689" s="55"/>
    </row>
    <row r="690">
      <c r="I690" s="216"/>
      <c r="J690" s="216"/>
      <c r="K690" s="216"/>
      <c r="AX690" s="55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55"/>
      <c r="BT690" s="55"/>
      <c r="BU690" s="55"/>
      <c r="BV690" s="55"/>
      <c r="BW690" s="55"/>
      <c r="BX690" s="55"/>
      <c r="BY690" s="55"/>
    </row>
    <row r="691">
      <c r="I691" s="216"/>
      <c r="J691" s="216"/>
      <c r="K691" s="216"/>
      <c r="AX691" s="55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55"/>
      <c r="BT691" s="55"/>
      <c r="BU691" s="55"/>
      <c r="BV691" s="55"/>
      <c r="BW691" s="55"/>
      <c r="BX691" s="55"/>
      <c r="BY691" s="55"/>
    </row>
    <row r="692">
      <c r="I692" s="216"/>
      <c r="J692" s="216"/>
      <c r="K692" s="216"/>
      <c r="AX692" s="55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55"/>
      <c r="BT692" s="55"/>
      <c r="BU692" s="55"/>
      <c r="BV692" s="55"/>
      <c r="BW692" s="55"/>
      <c r="BX692" s="55"/>
      <c r="BY692" s="55"/>
    </row>
    <row r="693">
      <c r="I693" s="216"/>
      <c r="J693" s="216"/>
      <c r="K693" s="216"/>
      <c r="AX693" s="55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55"/>
      <c r="BT693" s="55"/>
      <c r="BU693" s="55"/>
      <c r="BV693" s="55"/>
      <c r="BW693" s="55"/>
      <c r="BX693" s="55"/>
      <c r="BY693" s="55"/>
    </row>
    <row r="694">
      <c r="I694" s="216"/>
      <c r="J694" s="216"/>
      <c r="K694" s="216"/>
      <c r="AX694" s="55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55"/>
      <c r="BT694" s="55"/>
      <c r="BU694" s="55"/>
      <c r="BV694" s="55"/>
      <c r="BW694" s="55"/>
      <c r="BX694" s="55"/>
      <c r="BY694" s="55"/>
    </row>
    <row r="695">
      <c r="I695" s="216"/>
      <c r="J695" s="216"/>
      <c r="K695" s="216"/>
      <c r="AX695" s="55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55"/>
      <c r="BT695" s="55"/>
      <c r="BU695" s="55"/>
      <c r="BV695" s="55"/>
      <c r="BW695" s="55"/>
      <c r="BX695" s="55"/>
      <c r="BY695" s="55"/>
    </row>
    <row r="696">
      <c r="I696" s="216"/>
      <c r="J696" s="216"/>
      <c r="K696" s="216"/>
      <c r="AX696" s="55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55"/>
      <c r="BT696" s="55"/>
      <c r="BU696" s="55"/>
      <c r="BV696" s="55"/>
      <c r="BW696" s="55"/>
      <c r="BX696" s="55"/>
      <c r="BY696" s="55"/>
    </row>
    <row r="697">
      <c r="I697" s="216"/>
      <c r="J697" s="216"/>
      <c r="K697" s="216"/>
      <c r="AX697" s="55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55"/>
      <c r="BT697" s="55"/>
      <c r="BU697" s="55"/>
      <c r="BV697" s="55"/>
      <c r="BW697" s="55"/>
      <c r="BX697" s="55"/>
      <c r="BY697" s="55"/>
    </row>
    <row r="698">
      <c r="I698" s="216"/>
      <c r="J698" s="216"/>
      <c r="K698" s="216"/>
      <c r="AX698" s="55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55"/>
      <c r="BT698" s="55"/>
      <c r="BU698" s="55"/>
      <c r="BV698" s="55"/>
      <c r="BW698" s="55"/>
      <c r="BX698" s="55"/>
      <c r="BY698" s="55"/>
    </row>
    <row r="699">
      <c r="I699" s="216"/>
      <c r="J699" s="216"/>
      <c r="K699" s="216"/>
      <c r="AX699" s="55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55"/>
      <c r="BT699" s="55"/>
      <c r="BU699" s="55"/>
      <c r="BV699" s="55"/>
      <c r="BW699" s="55"/>
      <c r="BX699" s="55"/>
      <c r="BY699" s="55"/>
    </row>
    <row r="700">
      <c r="I700" s="216"/>
      <c r="J700" s="216"/>
      <c r="K700" s="216"/>
      <c r="AX700" s="55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55"/>
      <c r="BT700" s="55"/>
      <c r="BU700" s="55"/>
      <c r="BV700" s="55"/>
      <c r="BW700" s="55"/>
      <c r="BX700" s="55"/>
      <c r="BY700" s="55"/>
    </row>
    <row r="701">
      <c r="I701" s="216"/>
      <c r="J701" s="216"/>
      <c r="K701" s="216"/>
      <c r="AX701" s="55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55"/>
      <c r="BT701" s="55"/>
      <c r="BU701" s="55"/>
      <c r="BV701" s="55"/>
      <c r="BW701" s="55"/>
      <c r="BX701" s="55"/>
      <c r="BY701" s="55"/>
    </row>
    <row r="702">
      <c r="I702" s="216"/>
      <c r="J702" s="216"/>
      <c r="K702" s="216"/>
      <c r="AX702" s="55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55"/>
      <c r="BT702" s="55"/>
      <c r="BU702" s="55"/>
      <c r="BV702" s="55"/>
      <c r="BW702" s="55"/>
      <c r="BX702" s="55"/>
      <c r="BY702" s="55"/>
    </row>
    <row r="703">
      <c r="I703" s="216"/>
      <c r="J703" s="216"/>
      <c r="K703" s="216"/>
      <c r="AX703" s="55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55"/>
      <c r="BT703" s="55"/>
      <c r="BU703" s="55"/>
      <c r="BV703" s="55"/>
      <c r="BW703" s="55"/>
      <c r="BX703" s="55"/>
      <c r="BY703" s="55"/>
    </row>
    <row r="704">
      <c r="I704" s="216"/>
      <c r="J704" s="216"/>
      <c r="K704" s="216"/>
      <c r="AX704" s="55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55"/>
      <c r="BT704" s="55"/>
      <c r="BU704" s="55"/>
      <c r="BV704" s="55"/>
      <c r="BW704" s="55"/>
      <c r="BX704" s="55"/>
      <c r="BY704" s="55"/>
    </row>
    <row r="705">
      <c r="I705" s="216"/>
      <c r="J705" s="216"/>
      <c r="K705" s="216"/>
      <c r="AX705" s="55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55"/>
      <c r="BT705" s="55"/>
      <c r="BU705" s="55"/>
      <c r="BV705" s="55"/>
      <c r="BW705" s="55"/>
      <c r="BX705" s="55"/>
      <c r="BY705" s="55"/>
    </row>
    <row r="706">
      <c r="I706" s="216"/>
      <c r="J706" s="216"/>
      <c r="K706" s="216"/>
      <c r="AX706" s="55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55"/>
      <c r="BT706" s="55"/>
      <c r="BU706" s="55"/>
      <c r="BV706" s="55"/>
      <c r="BW706" s="55"/>
      <c r="BX706" s="55"/>
      <c r="BY706" s="55"/>
    </row>
    <row r="707">
      <c r="I707" s="216"/>
      <c r="J707" s="216"/>
      <c r="K707" s="216"/>
      <c r="AX707" s="55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55"/>
      <c r="BT707" s="55"/>
      <c r="BU707" s="55"/>
      <c r="BV707" s="55"/>
      <c r="BW707" s="55"/>
      <c r="BX707" s="55"/>
      <c r="BY707" s="55"/>
    </row>
    <row r="708">
      <c r="I708" s="216"/>
      <c r="J708" s="216"/>
      <c r="K708" s="216"/>
      <c r="AX708" s="55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55"/>
      <c r="BT708" s="55"/>
      <c r="BU708" s="55"/>
      <c r="BV708" s="55"/>
      <c r="BW708" s="55"/>
      <c r="BX708" s="55"/>
      <c r="BY708" s="55"/>
    </row>
    <row r="709">
      <c r="I709" s="216"/>
      <c r="J709" s="216"/>
      <c r="K709" s="216"/>
      <c r="AX709" s="55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55"/>
      <c r="BT709" s="55"/>
      <c r="BU709" s="55"/>
      <c r="BV709" s="55"/>
      <c r="BW709" s="55"/>
      <c r="BX709" s="55"/>
      <c r="BY709" s="55"/>
    </row>
    <row r="710">
      <c r="I710" s="216"/>
      <c r="J710" s="216"/>
      <c r="K710" s="216"/>
      <c r="AX710" s="55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55"/>
      <c r="BT710" s="55"/>
      <c r="BU710" s="55"/>
      <c r="BV710" s="55"/>
      <c r="BW710" s="55"/>
      <c r="BX710" s="55"/>
      <c r="BY710" s="55"/>
    </row>
    <row r="711">
      <c r="I711" s="216"/>
      <c r="J711" s="216"/>
      <c r="K711" s="216"/>
      <c r="AX711" s="55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55"/>
      <c r="BT711" s="55"/>
      <c r="BU711" s="55"/>
      <c r="BV711" s="55"/>
      <c r="BW711" s="55"/>
      <c r="BX711" s="55"/>
      <c r="BY711" s="55"/>
    </row>
    <row r="712">
      <c r="I712" s="216"/>
      <c r="J712" s="216"/>
      <c r="K712" s="216"/>
      <c r="AX712" s="55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55"/>
      <c r="BT712" s="55"/>
      <c r="BU712" s="55"/>
      <c r="BV712" s="55"/>
      <c r="BW712" s="55"/>
      <c r="BX712" s="55"/>
      <c r="BY712" s="55"/>
    </row>
    <row r="713">
      <c r="I713" s="216"/>
      <c r="J713" s="216"/>
      <c r="K713" s="216"/>
      <c r="AX713" s="55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55"/>
      <c r="BT713" s="55"/>
      <c r="BU713" s="55"/>
      <c r="BV713" s="55"/>
      <c r="BW713" s="55"/>
      <c r="BX713" s="55"/>
      <c r="BY713" s="55"/>
    </row>
    <row r="714">
      <c r="I714" s="216"/>
      <c r="J714" s="216"/>
      <c r="K714" s="216"/>
      <c r="AX714" s="55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55"/>
      <c r="BT714" s="55"/>
      <c r="BU714" s="55"/>
      <c r="BV714" s="55"/>
      <c r="BW714" s="55"/>
      <c r="BX714" s="55"/>
      <c r="BY714" s="55"/>
    </row>
    <row r="715">
      <c r="I715" s="216"/>
      <c r="J715" s="216"/>
      <c r="K715" s="216"/>
      <c r="AX715" s="55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55"/>
      <c r="BT715" s="55"/>
      <c r="BU715" s="55"/>
      <c r="BV715" s="55"/>
      <c r="BW715" s="55"/>
      <c r="BX715" s="55"/>
      <c r="BY715" s="55"/>
    </row>
    <row r="716">
      <c r="I716" s="216"/>
      <c r="J716" s="216"/>
      <c r="K716" s="216"/>
      <c r="AX716" s="55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55"/>
      <c r="BT716" s="55"/>
      <c r="BU716" s="55"/>
      <c r="BV716" s="55"/>
      <c r="BW716" s="55"/>
      <c r="BX716" s="55"/>
      <c r="BY716" s="55"/>
    </row>
    <row r="717">
      <c r="I717" s="216"/>
      <c r="J717" s="216"/>
      <c r="K717" s="216"/>
      <c r="AX717" s="55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55"/>
      <c r="BT717" s="55"/>
      <c r="BU717" s="55"/>
      <c r="BV717" s="55"/>
      <c r="BW717" s="55"/>
      <c r="BX717" s="55"/>
      <c r="BY717" s="55"/>
    </row>
    <row r="718">
      <c r="I718" s="216"/>
      <c r="J718" s="216"/>
      <c r="K718" s="216"/>
      <c r="AX718" s="55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55"/>
      <c r="BT718" s="55"/>
      <c r="BU718" s="55"/>
      <c r="BV718" s="55"/>
      <c r="BW718" s="55"/>
      <c r="BX718" s="55"/>
      <c r="BY718" s="55"/>
    </row>
    <row r="719">
      <c r="I719" s="216"/>
      <c r="J719" s="216"/>
      <c r="K719" s="216"/>
      <c r="AX719" s="55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55"/>
      <c r="BT719" s="55"/>
      <c r="BU719" s="55"/>
      <c r="BV719" s="55"/>
      <c r="BW719" s="55"/>
      <c r="BX719" s="55"/>
      <c r="BY719" s="55"/>
    </row>
    <row r="720">
      <c r="I720" s="216"/>
      <c r="J720" s="216"/>
      <c r="K720" s="216"/>
      <c r="AX720" s="55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55"/>
      <c r="BT720" s="55"/>
      <c r="BU720" s="55"/>
      <c r="BV720" s="55"/>
      <c r="BW720" s="55"/>
      <c r="BX720" s="55"/>
      <c r="BY720" s="55"/>
    </row>
    <row r="721">
      <c r="I721" s="216"/>
      <c r="J721" s="216"/>
      <c r="K721" s="216"/>
      <c r="AX721" s="55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55"/>
      <c r="BT721" s="55"/>
      <c r="BU721" s="55"/>
      <c r="BV721" s="55"/>
      <c r="BW721" s="55"/>
      <c r="BX721" s="55"/>
      <c r="BY721" s="55"/>
    </row>
    <row r="722">
      <c r="I722" s="216"/>
      <c r="J722" s="216"/>
      <c r="K722" s="216"/>
      <c r="AX722" s="55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55"/>
      <c r="BT722" s="55"/>
      <c r="BU722" s="55"/>
      <c r="BV722" s="55"/>
      <c r="BW722" s="55"/>
      <c r="BX722" s="55"/>
      <c r="BY722" s="55"/>
    </row>
    <row r="723">
      <c r="I723" s="216"/>
      <c r="J723" s="216"/>
      <c r="K723" s="216"/>
      <c r="AX723" s="55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55"/>
      <c r="BT723" s="55"/>
      <c r="BU723" s="55"/>
      <c r="BV723" s="55"/>
      <c r="BW723" s="55"/>
      <c r="BX723" s="55"/>
      <c r="BY723" s="55"/>
    </row>
    <row r="724">
      <c r="I724" s="216"/>
      <c r="J724" s="216"/>
      <c r="K724" s="216"/>
      <c r="AX724" s="55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55"/>
      <c r="BT724" s="55"/>
      <c r="BU724" s="55"/>
      <c r="BV724" s="55"/>
      <c r="BW724" s="55"/>
      <c r="BX724" s="55"/>
      <c r="BY724" s="55"/>
    </row>
    <row r="725">
      <c r="I725" s="216"/>
      <c r="J725" s="216"/>
      <c r="K725" s="216"/>
      <c r="AX725" s="55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55"/>
      <c r="BT725" s="55"/>
      <c r="BU725" s="55"/>
      <c r="BV725" s="55"/>
      <c r="BW725" s="55"/>
      <c r="BX725" s="55"/>
      <c r="BY725" s="55"/>
    </row>
    <row r="726">
      <c r="I726" s="216"/>
      <c r="J726" s="216"/>
      <c r="K726" s="216"/>
      <c r="AX726" s="55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55"/>
      <c r="BT726" s="55"/>
      <c r="BU726" s="55"/>
      <c r="BV726" s="55"/>
      <c r="BW726" s="55"/>
      <c r="BX726" s="55"/>
      <c r="BY726" s="55"/>
    </row>
    <row r="727">
      <c r="I727" s="216"/>
      <c r="J727" s="216"/>
      <c r="K727" s="216"/>
      <c r="AX727" s="55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55"/>
      <c r="BT727" s="55"/>
      <c r="BU727" s="55"/>
      <c r="BV727" s="55"/>
      <c r="BW727" s="55"/>
      <c r="BX727" s="55"/>
      <c r="BY727" s="55"/>
    </row>
    <row r="728">
      <c r="I728" s="216"/>
      <c r="J728" s="216"/>
      <c r="K728" s="216"/>
      <c r="AX728" s="55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55"/>
      <c r="BT728" s="55"/>
      <c r="BU728" s="55"/>
      <c r="BV728" s="55"/>
      <c r="BW728" s="55"/>
      <c r="BX728" s="55"/>
      <c r="BY728" s="55"/>
    </row>
    <row r="729">
      <c r="I729" s="216"/>
      <c r="J729" s="216"/>
      <c r="K729" s="216"/>
      <c r="AX729" s="55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55"/>
      <c r="BT729" s="55"/>
      <c r="BU729" s="55"/>
      <c r="BV729" s="55"/>
      <c r="BW729" s="55"/>
      <c r="BX729" s="55"/>
      <c r="BY729" s="55"/>
    </row>
    <row r="730">
      <c r="I730" s="216"/>
      <c r="J730" s="216"/>
      <c r="K730" s="216"/>
      <c r="AX730" s="55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55"/>
      <c r="BT730" s="55"/>
      <c r="BU730" s="55"/>
      <c r="BV730" s="55"/>
      <c r="BW730" s="55"/>
      <c r="BX730" s="55"/>
      <c r="BY730" s="55"/>
    </row>
    <row r="731">
      <c r="I731" s="216"/>
      <c r="J731" s="216"/>
      <c r="K731" s="216"/>
      <c r="AX731" s="55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55"/>
      <c r="BT731" s="55"/>
      <c r="BU731" s="55"/>
      <c r="BV731" s="55"/>
      <c r="BW731" s="55"/>
      <c r="BX731" s="55"/>
      <c r="BY731" s="55"/>
    </row>
    <row r="732">
      <c r="I732" s="216"/>
      <c r="J732" s="216"/>
      <c r="K732" s="216"/>
      <c r="AX732" s="55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55"/>
      <c r="BT732" s="55"/>
      <c r="BU732" s="55"/>
      <c r="BV732" s="55"/>
      <c r="BW732" s="55"/>
      <c r="BX732" s="55"/>
      <c r="BY732" s="55"/>
    </row>
    <row r="733">
      <c r="I733" s="216"/>
      <c r="J733" s="216"/>
      <c r="K733" s="216"/>
      <c r="AX733" s="55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55"/>
      <c r="BT733" s="55"/>
      <c r="BU733" s="55"/>
      <c r="BV733" s="55"/>
      <c r="BW733" s="55"/>
      <c r="BX733" s="55"/>
      <c r="BY733" s="55"/>
    </row>
    <row r="734">
      <c r="I734" s="216"/>
      <c r="J734" s="216"/>
      <c r="K734" s="216"/>
      <c r="AX734" s="55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55"/>
      <c r="BT734" s="55"/>
      <c r="BU734" s="55"/>
      <c r="BV734" s="55"/>
      <c r="BW734" s="55"/>
      <c r="BX734" s="55"/>
      <c r="BY734" s="55"/>
    </row>
    <row r="735">
      <c r="I735" s="216"/>
      <c r="J735" s="216"/>
      <c r="K735" s="216"/>
      <c r="AX735" s="55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55"/>
      <c r="BT735" s="55"/>
      <c r="BU735" s="55"/>
      <c r="BV735" s="55"/>
      <c r="BW735" s="55"/>
      <c r="BX735" s="55"/>
      <c r="BY735" s="55"/>
    </row>
    <row r="736">
      <c r="I736" s="216"/>
      <c r="J736" s="216"/>
      <c r="K736" s="216"/>
      <c r="AX736" s="55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55"/>
      <c r="BT736" s="55"/>
      <c r="BU736" s="55"/>
      <c r="BV736" s="55"/>
      <c r="BW736" s="55"/>
      <c r="BX736" s="55"/>
      <c r="BY736" s="55"/>
    </row>
    <row r="737">
      <c r="I737" s="216"/>
      <c r="J737" s="216"/>
      <c r="K737" s="216"/>
      <c r="AX737" s="55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55"/>
      <c r="BT737" s="55"/>
      <c r="BU737" s="55"/>
      <c r="BV737" s="55"/>
      <c r="BW737" s="55"/>
      <c r="BX737" s="55"/>
      <c r="BY737" s="55"/>
    </row>
    <row r="738">
      <c r="I738" s="216"/>
      <c r="J738" s="216"/>
      <c r="K738" s="216"/>
      <c r="AX738" s="55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55"/>
      <c r="BT738" s="55"/>
      <c r="BU738" s="55"/>
      <c r="BV738" s="55"/>
      <c r="BW738" s="55"/>
      <c r="BX738" s="55"/>
      <c r="BY738" s="55"/>
    </row>
    <row r="739">
      <c r="I739" s="216"/>
      <c r="J739" s="216"/>
      <c r="K739" s="216"/>
      <c r="AX739" s="55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55"/>
      <c r="BT739" s="55"/>
      <c r="BU739" s="55"/>
      <c r="BV739" s="55"/>
      <c r="BW739" s="55"/>
      <c r="BX739" s="55"/>
      <c r="BY739" s="55"/>
    </row>
    <row r="740">
      <c r="I740" s="216"/>
      <c r="J740" s="216"/>
      <c r="K740" s="216"/>
      <c r="AX740" s="55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55"/>
      <c r="BT740" s="55"/>
      <c r="BU740" s="55"/>
      <c r="BV740" s="55"/>
      <c r="BW740" s="55"/>
      <c r="BX740" s="55"/>
      <c r="BY740" s="55"/>
    </row>
    <row r="741">
      <c r="I741" s="216"/>
      <c r="J741" s="216"/>
      <c r="K741" s="216"/>
      <c r="AX741" s="55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55"/>
      <c r="BT741" s="55"/>
      <c r="BU741" s="55"/>
      <c r="BV741" s="55"/>
      <c r="BW741" s="55"/>
      <c r="BX741" s="55"/>
      <c r="BY741" s="55"/>
    </row>
    <row r="742">
      <c r="I742" s="216"/>
      <c r="J742" s="216"/>
      <c r="K742" s="216"/>
      <c r="AX742" s="55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55"/>
      <c r="BT742" s="55"/>
      <c r="BU742" s="55"/>
      <c r="BV742" s="55"/>
      <c r="BW742" s="55"/>
      <c r="BX742" s="55"/>
      <c r="BY742" s="55"/>
    </row>
    <row r="743">
      <c r="I743" s="216"/>
      <c r="J743" s="216"/>
      <c r="K743" s="216"/>
      <c r="AX743" s="55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55"/>
      <c r="BT743" s="55"/>
      <c r="BU743" s="55"/>
      <c r="BV743" s="55"/>
      <c r="BW743" s="55"/>
      <c r="BX743" s="55"/>
      <c r="BY743" s="55"/>
    </row>
    <row r="744">
      <c r="I744" s="216"/>
      <c r="J744" s="216"/>
      <c r="K744" s="216"/>
      <c r="AX744" s="55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55"/>
      <c r="BT744" s="55"/>
      <c r="BU744" s="55"/>
      <c r="BV744" s="55"/>
      <c r="BW744" s="55"/>
      <c r="BX744" s="55"/>
      <c r="BY744" s="55"/>
    </row>
    <row r="745">
      <c r="I745" s="216"/>
      <c r="J745" s="216"/>
      <c r="K745" s="216"/>
      <c r="AX745" s="55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55"/>
      <c r="BT745" s="55"/>
      <c r="BU745" s="55"/>
      <c r="BV745" s="55"/>
      <c r="BW745" s="55"/>
      <c r="BX745" s="55"/>
      <c r="BY745" s="55"/>
    </row>
    <row r="746">
      <c r="I746" s="216"/>
      <c r="J746" s="216"/>
      <c r="K746" s="216"/>
      <c r="AX746" s="55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55"/>
      <c r="BT746" s="55"/>
      <c r="BU746" s="55"/>
      <c r="BV746" s="55"/>
      <c r="BW746" s="55"/>
      <c r="BX746" s="55"/>
      <c r="BY746" s="55"/>
    </row>
    <row r="747">
      <c r="I747" s="216"/>
      <c r="J747" s="216"/>
      <c r="K747" s="216"/>
      <c r="AX747" s="55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55"/>
      <c r="BT747" s="55"/>
      <c r="BU747" s="55"/>
      <c r="BV747" s="55"/>
      <c r="BW747" s="55"/>
      <c r="BX747" s="55"/>
      <c r="BY747" s="55"/>
    </row>
    <row r="748">
      <c r="I748" s="216"/>
      <c r="J748" s="216"/>
      <c r="K748" s="216"/>
      <c r="AX748" s="55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55"/>
      <c r="BT748" s="55"/>
      <c r="BU748" s="55"/>
      <c r="BV748" s="55"/>
      <c r="BW748" s="55"/>
      <c r="BX748" s="55"/>
      <c r="BY748" s="55"/>
    </row>
    <row r="749">
      <c r="I749" s="216"/>
      <c r="J749" s="216"/>
      <c r="K749" s="216"/>
      <c r="AX749" s="55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55"/>
      <c r="BT749" s="55"/>
      <c r="BU749" s="55"/>
      <c r="BV749" s="55"/>
      <c r="BW749" s="55"/>
      <c r="BX749" s="55"/>
      <c r="BY749" s="55"/>
    </row>
    <row r="750">
      <c r="I750" s="216"/>
      <c r="J750" s="216"/>
      <c r="K750" s="216"/>
      <c r="AX750" s="55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55"/>
      <c r="BT750" s="55"/>
      <c r="BU750" s="55"/>
      <c r="BV750" s="55"/>
      <c r="BW750" s="55"/>
      <c r="BX750" s="55"/>
      <c r="BY750" s="55"/>
    </row>
    <row r="751">
      <c r="I751" s="216"/>
      <c r="J751" s="216"/>
      <c r="K751" s="216"/>
      <c r="AX751" s="55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55"/>
      <c r="BT751" s="55"/>
      <c r="BU751" s="55"/>
      <c r="BV751" s="55"/>
      <c r="BW751" s="55"/>
      <c r="BX751" s="55"/>
      <c r="BY751" s="55"/>
    </row>
    <row r="752">
      <c r="I752" s="216"/>
      <c r="J752" s="216"/>
      <c r="K752" s="216"/>
      <c r="AX752" s="55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55"/>
      <c r="BT752" s="55"/>
      <c r="BU752" s="55"/>
      <c r="BV752" s="55"/>
      <c r="BW752" s="55"/>
      <c r="BX752" s="55"/>
      <c r="BY752" s="55"/>
    </row>
    <row r="753">
      <c r="I753" s="216"/>
      <c r="J753" s="216"/>
      <c r="K753" s="216"/>
      <c r="AX753" s="55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55"/>
      <c r="BT753" s="55"/>
      <c r="BU753" s="55"/>
      <c r="BV753" s="55"/>
      <c r="BW753" s="55"/>
      <c r="BX753" s="55"/>
      <c r="BY753" s="55"/>
    </row>
    <row r="754">
      <c r="I754" s="216"/>
      <c r="J754" s="216"/>
      <c r="K754" s="216"/>
      <c r="AX754" s="55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55"/>
      <c r="BT754" s="55"/>
      <c r="BU754" s="55"/>
      <c r="BV754" s="55"/>
      <c r="BW754" s="55"/>
      <c r="BX754" s="55"/>
      <c r="BY754" s="55"/>
    </row>
    <row r="755">
      <c r="I755" s="216"/>
      <c r="J755" s="216"/>
      <c r="K755" s="216"/>
      <c r="AX755" s="55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55"/>
      <c r="BT755" s="55"/>
      <c r="BU755" s="55"/>
      <c r="BV755" s="55"/>
      <c r="BW755" s="55"/>
      <c r="BX755" s="55"/>
      <c r="BY755" s="55"/>
    </row>
    <row r="756">
      <c r="I756" s="216"/>
      <c r="J756" s="216"/>
      <c r="K756" s="216"/>
      <c r="AX756" s="55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55"/>
      <c r="BT756" s="55"/>
      <c r="BU756" s="55"/>
      <c r="BV756" s="55"/>
      <c r="BW756" s="55"/>
      <c r="BX756" s="55"/>
      <c r="BY756" s="55"/>
    </row>
    <row r="757">
      <c r="I757" s="216"/>
      <c r="J757" s="216"/>
      <c r="K757" s="216"/>
      <c r="AX757" s="55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55"/>
      <c r="BT757" s="55"/>
      <c r="BU757" s="55"/>
      <c r="BV757" s="55"/>
      <c r="BW757" s="55"/>
      <c r="BX757" s="55"/>
      <c r="BY757" s="55"/>
    </row>
    <row r="758">
      <c r="I758" s="216"/>
      <c r="J758" s="216"/>
      <c r="K758" s="216"/>
      <c r="AX758" s="55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55"/>
      <c r="BT758" s="55"/>
      <c r="BU758" s="55"/>
      <c r="BV758" s="55"/>
      <c r="BW758" s="55"/>
      <c r="BX758" s="55"/>
      <c r="BY758" s="55"/>
    </row>
    <row r="759">
      <c r="I759" s="216"/>
      <c r="J759" s="216"/>
      <c r="K759" s="216"/>
      <c r="AX759" s="55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55"/>
      <c r="BT759" s="55"/>
      <c r="BU759" s="55"/>
      <c r="BV759" s="55"/>
      <c r="BW759" s="55"/>
      <c r="BX759" s="55"/>
      <c r="BY759" s="55"/>
    </row>
    <row r="760">
      <c r="I760" s="216"/>
      <c r="J760" s="216"/>
      <c r="K760" s="216"/>
      <c r="AX760" s="55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55"/>
      <c r="BT760" s="55"/>
      <c r="BU760" s="55"/>
      <c r="BV760" s="55"/>
      <c r="BW760" s="55"/>
      <c r="BX760" s="55"/>
      <c r="BY760" s="55"/>
    </row>
    <row r="761">
      <c r="I761" s="216"/>
      <c r="J761" s="216"/>
      <c r="K761" s="216"/>
      <c r="AX761" s="55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55"/>
      <c r="BT761" s="55"/>
      <c r="BU761" s="55"/>
      <c r="BV761" s="55"/>
      <c r="BW761" s="55"/>
      <c r="BX761" s="55"/>
      <c r="BY761" s="55"/>
    </row>
    <row r="762">
      <c r="I762" s="216"/>
      <c r="J762" s="216"/>
      <c r="K762" s="216"/>
      <c r="AX762" s="55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55"/>
      <c r="BT762" s="55"/>
      <c r="BU762" s="55"/>
      <c r="BV762" s="55"/>
      <c r="BW762" s="55"/>
      <c r="BX762" s="55"/>
      <c r="BY762" s="55"/>
    </row>
    <row r="763">
      <c r="I763" s="216"/>
      <c r="J763" s="216"/>
      <c r="K763" s="216"/>
      <c r="AX763" s="55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55"/>
      <c r="BT763" s="55"/>
      <c r="BU763" s="55"/>
      <c r="BV763" s="55"/>
      <c r="BW763" s="55"/>
      <c r="BX763" s="55"/>
      <c r="BY763" s="55"/>
    </row>
    <row r="764">
      <c r="I764" s="216"/>
      <c r="J764" s="216"/>
      <c r="K764" s="216"/>
      <c r="AX764" s="55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55"/>
      <c r="BT764" s="55"/>
      <c r="BU764" s="55"/>
      <c r="BV764" s="55"/>
      <c r="BW764" s="55"/>
      <c r="BX764" s="55"/>
      <c r="BY764" s="55"/>
    </row>
    <row r="765">
      <c r="I765" s="216"/>
      <c r="J765" s="216"/>
      <c r="K765" s="216"/>
      <c r="AX765" s="55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55"/>
      <c r="BT765" s="55"/>
      <c r="BU765" s="55"/>
      <c r="BV765" s="55"/>
      <c r="BW765" s="55"/>
      <c r="BX765" s="55"/>
      <c r="BY765" s="55"/>
    </row>
    <row r="766">
      <c r="I766" s="216"/>
      <c r="J766" s="216"/>
      <c r="K766" s="216"/>
      <c r="AX766" s="55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55"/>
      <c r="BT766" s="55"/>
      <c r="BU766" s="55"/>
      <c r="BV766" s="55"/>
      <c r="BW766" s="55"/>
      <c r="BX766" s="55"/>
      <c r="BY766" s="55"/>
    </row>
    <row r="767">
      <c r="I767" s="216"/>
      <c r="J767" s="216"/>
      <c r="K767" s="216"/>
      <c r="AX767" s="55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55"/>
      <c r="BT767" s="55"/>
      <c r="BU767" s="55"/>
      <c r="BV767" s="55"/>
      <c r="BW767" s="55"/>
      <c r="BX767" s="55"/>
      <c r="BY767" s="55"/>
    </row>
    <row r="768">
      <c r="I768" s="216"/>
      <c r="J768" s="216"/>
      <c r="K768" s="216"/>
      <c r="AX768" s="55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55"/>
      <c r="BT768" s="55"/>
      <c r="BU768" s="55"/>
      <c r="BV768" s="55"/>
      <c r="BW768" s="55"/>
      <c r="BX768" s="55"/>
      <c r="BY768" s="55"/>
    </row>
    <row r="769">
      <c r="I769" s="216"/>
      <c r="J769" s="216"/>
      <c r="K769" s="216"/>
      <c r="AX769" s="55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55"/>
      <c r="BT769" s="55"/>
      <c r="BU769" s="55"/>
      <c r="BV769" s="55"/>
      <c r="BW769" s="55"/>
      <c r="BX769" s="55"/>
      <c r="BY769" s="55"/>
    </row>
    <row r="770">
      <c r="I770" s="216"/>
      <c r="J770" s="216"/>
      <c r="K770" s="216"/>
      <c r="AX770" s="55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55"/>
      <c r="BT770" s="55"/>
      <c r="BU770" s="55"/>
      <c r="BV770" s="55"/>
      <c r="BW770" s="55"/>
      <c r="BX770" s="55"/>
      <c r="BY770" s="55"/>
    </row>
    <row r="771">
      <c r="I771" s="216"/>
      <c r="J771" s="216"/>
      <c r="K771" s="216"/>
      <c r="AX771" s="55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55"/>
      <c r="BT771" s="55"/>
      <c r="BU771" s="55"/>
      <c r="BV771" s="55"/>
      <c r="BW771" s="55"/>
      <c r="BX771" s="55"/>
      <c r="BY771" s="55"/>
    </row>
    <row r="772">
      <c r="I772" s="216"/>
      <c r="J772" s="216"/>
      <c r="K772" s="216"/>
      <c r="AX772" s="55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55"/>
      <c r="BT772" s="55"/>
      <c r="BU772" s="55"/>
      <c r="BV772" s="55"/>
      <c r="BW772" s="55"/>
      <c r="BX772" s="55"/>
      <c r="BY772" s="55"/>
    </row>
    <row r="773">
      <c r="I773" s="216"/>
      <c r="J773" s="216"/>
      <c r="K773" s="216"/>
      <c r="AX773" s="55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55"/>
      <c r="BT773" s="55"/>
      <c r="BU773" s="55"/>
      <c r="BV773" s="55"/>
      <c r="BW773" s="55"/>
      <c r="BX773" s="55"/>
      <c r="BY773" s="55"/>
    </row>
    <row r="774">
      <c r="I774" s="216"/>
      <c r="J774" s="216"/>
      <c r="K774" s="216"/>
      <c r="AX774" s="55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55"/>
      <c r="BT774" s="55"/>
      <c r="BU774" s="55"/>
      <c r="BV774" s="55"/>
      <c r="BW774" s="55"/>
      <c r="BX774" s="55"/>
      <c r="BY774" s="55"/>
    </row>
    <row r="775">
      <c r="I775" s="216"/>
      <c r="J775" s="216"/>
      <c r="K775" s="216"/>
      <c r="AX775" s="55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55"/>
      <c r="BT775" s="55"/>
      <c r="BU775" s="55"/>
      <c r="BV775" s="55"/>
      <c r="BW775" s="55"/>
      <c r="BX775" s="55"/>
      <c r="BY775" s="55"/>
    </row>
    <row r="776">
      <c r="I776" s="216"/>
      <c r="J776" s="216"/>
      <c r="K776" s="216"/>
      <c r="AX776" s="55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55"/>
      <c r="BT776" s="55"/>
      <c r="BU776" s="55"/>
      <c r="BV776" s="55"/>
      <c r="BW776" s="55"/>
      <c r="BX776" s="55"/>
      <c r="BY776" s="55"/>
    </row>
    <row r="777">
      <c r="I777" s="216"/>
      <c r="J777" s="216"/>
      <c r="K777" s="216"/>
      <c r="AX777" s="55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55"/>
      <c r="BT777" s="55"/>
      <c r="BU777" s="55"/>
      <c r="BV777" s="55"/>
      <c r="BW777" s="55"/>
      <c r="BX777" s="55"/>
      <c r="BY777" s="55"/>
    </row>
    <row r="778">
      <c r="I778" s="216"/>
      <c r="J778" s="216"/>
      <c r="K778" s="216"/>
      <c r="AX778" s="55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55"/>
      <c r="BT778" s="55"/>
      <c r="BU778" s="55"/>
      <c r="BV778" s="55"/>
      <c r="BW778" s="55"/>
      <c r="BX778" s="55"/>
      <c r="BY778" s="55"/>
    </row>
    <row r="779">
      <c r="I779" s="216"/>
      <c r="J779" s="216"/>
      <c r="K779" s="216"/>
      <c r="AX779" s="55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55"/>
      <c r="BT779" s="55"/>
      <c r="BU779" s="55"/>
      <c r="BV779" s="55"/>
      <c r="BW779" s="55"/>
      <c r="BX779" s="55"/>
      <c r="BY779" s="55"/>
    </row>
    <row r="780">
      <c r="I780" s="216"/>
      <c r="J780" s="216"/>
      <c r="K780" s="216"/>
      <c r="AX780" s="55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55"/>
      <c r="BT780" s="55"/>
      <c r="BU780" s="55"/>
      <c r="BV780" s="55"/>
      <c r="BW780" s="55"/>
      <c r="BX780" s="55"/>
      <c r="BY780" s="55"/>
    </row>
    <row r="781">
      <c r="I781" s="216"/>
      <c r="J781" s="216"/>
      <c r="K781" s="216"/>
      <c r="AX781" s="55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55"/>
      <c r="BT781" s="55"/>
      <c r="BU781" s="55"/>
      <c r="BV781" s="55"/>
      <c r="BW781" s="55"/>
      <c r="BX781" s="55"/>
      <c r="BY781" s="55"/>
    </row>
    <row r="782">
      <c r="I782" s="216"/>
      <c r="J782" s="216"/>
      <c r="K782" s="216"/>
      <c r="AX782" s="55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55"/>
      <c r="BT782" s="55"/>
      <c r="BU782" s="55"/>
      <c r="BV782" s="55"/>
      <c r="BW782" s="55"/>
      <c r="BX782" s="55"/>
      <c r="BY782" s="55"/>
    </row>
    <row r="783">
      <c r="I783" s="216"/>
      <c r="J783" s="216"/>
      <c r="K783" s="216"/>
      <c r="AX783" s="55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55"/>
      <c r="BT783" s="55"/>
      <c r="BU783" s="55"/>
      <c r="BV783" s="55"/>
      <c r="BW783" s="55"/>
      <c r="BX783" s="55"/>
      <c r="BY783" s="55"/>
    </row>
    <row r="784">
      <c r="I784" s="216"/>
      <c r="J784" s="216"/>
      <c r="K784" s="216"/>
      <c r="AX784" s="55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55"/>
      <c r="BT784" s="55"/>
      <c r="BU784" s="55"/>
      <c r="BV784" s="55"/>
      <c r="BW784" s="55"/>
      <c r="BX784" s="55"/>
      <c r="BY784" s="55"/>
    </row>
    <row r="785">
      <c r="I785" s="216"/>
      <c r="J785" s="216"/>
      <c r="K785" s="216"/>
      <c r="AX785" s="55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55"/>
      <c r="BT785" s="55"/>
      <c r="BU785" s="55"/>
      <c r="BV785" s="55"/>
      <c r="BW785" s="55"/>
      <c r="BX785" s="55"/>
      <c r="BY785" s="55"/>
    </row>
    <row r="786">
      <c r="I786" s="216"/>
      <c r="J786" s="216"/>
      <c r="K786" s="216"/>
      <c r="AX786" s="55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55"/>
      <c r="BT786" s="55"/>
      <c r="BU786" s="55"/>
      <c r="BV786" s="55"/>
      <c r="BW786" s="55"/>
      <c r="BX786" s="55"/>
      <c r="BY786" s="55"/>
    </row>
    <row r="787">
      <c r="I787" s="216"/>
      <c r="J787" s="216"/>
      <c r="K787" s="216"/>
      <c r="AX787" s="55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55"/>
      <c r="BT787" s="55"/>
      <c r="BU787" s="55"/>
      <c r="BV787" s="55"/>
      <c r="BW787" s="55"/>
      <c r="BX787" s="55"/>
      <c r="BY787" s="55"/>
    </row>
    <row r="788">
      <c r="I788" s="216"/>
      <c r="J788" s="216"/>
      <c r="K788" s="216"/>
      <c r="AX788" s="55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55"/>
      <c r="BT788" s="55"/>
      <c r="BU788" s="55"/>
      <c r="BV788" s="55"/>
      <c r="BW788" s="55"/>
      <c r="BX788" s="55"/>
      <c r="BY788" s="55"/>
    </row>
    <row r="789">
      <c r="I789" s="216"/>
      <c r="J789" s="216"/>
      <c r="K789" s="216"/>
      <c r="AX789" s="55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55"/>
      <c r="BT789" s="55"/>
      <c r="BU789" s="55"/>
      <c r="BV789" s="55"/>
      <c r="BW789" s="55"/>
      <c r="BX789" s="55"/>
      <c r="BY789" s="55"/>
    </row>
    <row r="790">
      <c r="I790" s="216"/>
      <c r="J790" s="216"/>
      <c r="K790" s="216"/>
      <c r="AX790" s="55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55"/>
      <c r="BT790" s="55"/>
      <c r="BU790" s="55"/>
      <c r="BV790" s="55"/>
      <c r="BW790" s="55"/>
      <c r="BX790" s="55"/>
      <c r="BY790" s="55"/>
    </row>
    <row r="791">
      <c r="I791" s="216"/>
      <c r="J791" s="216"/>
      <c r="K791" s="216"/>
      <c r="AX791" s="55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55"/>
      <c r="BT791" s="55"/>
      <c r="BU791" s="55"/>
      <c r="BV791" s="55"/>
      <c r="BW791" s="55"/>
      <c r="BX791" s="55"/>
      <c r="BY791" s="55"/>
    </row>
    <row r="792">
      <c r="I792" s="216"/>
      <c r="J792" s="216"/>
      <c r="K792" s="216"/>
      <c r="AX792" s="55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55"/>
      <c r="BT792" s="55"/>
      <c r="BU792" s="55"/>
      <c r="BV792" s="55"/>
      <c r="BW792" s="55"/>
      <c r="BX792" s="55"/>
      <c r="BY792" s="55"/>
    </row>
    <row r="793">
      <c r="I793" s="216"/>
      <c r="J793" s="216"/>
      <c r="K793" s="216"/>
      <c r="AX793" s="55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55"/>
      <c r="BT793" s="55"/>
      <c r="BU793" s="55"/>
      <c r="BV793" s="55"/>
      <c r="BW793" s="55"/>
      <c r="BX793" s="55"/>
      <c r="BY793" s="55"/>
    </row>
    <row r="794">
      <c r="I794" s="216"/>
      <c r="J794" s="216"/>
      <c r="K794" s="216"/>
      <c r="AX794" s="55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55"/>
      <c r="BT794" s="55"/>
      <c r="BU794" s="55"/>
      <c r="BV794" s="55"/>
      <c r="BW794" s="55"/>
      <c r="BX794" s="55"/>
      <c r="BY794" s="55"/>
    </row>
    <row r="795">
      <c r="I795" s="216"/>
      <c r="J795" s="216"/>
      <c r="K795" s="216"/>
      <c r="AX795" s="55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55"/>
      <c r="BT795" s="55"/>
      <c r="BU795" s="55"/>
      <c r="BV795" s="55"/>
      <c r="BW795" s="55"/>
      <c r="BX795" s="55"/>
      <c r="BY795" s="55"/>
    </row>
    <row r="796">
      <c r="I796" s="216"/>
      <c r="J796" s="216"/>
      <c r="K796" s="216"/>
      <c r="AX796" s="55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55"/>
      <c r="BT796" s="55"/>
      <c r="BU796" s="55"/>
      <c r="BV796" s="55"/>
      <c r="BW796" s="55"/>
      <c r="BX796" s="55"/>
      <c r="BY796" s="55"/>
    </row>
    <row r="797">
      <c r="I797" s="216"/>
      <c r="J797" s="216"/>
      <c r="K797" s="216"/>
      <c r="AX797" s="55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55"/>
      <c r="BT797" s="55"/>
      <c r="BU797" s="55"/>
      <c r="BV797" s="55"/>
      <c r="BW797" s="55"/>
      <c r="BX797" s="55"/>
      <c r="BY797" s="55"/>
    </row>
    <row r="798">
      <c r="I798" s="216"/>
      <c r="J798" s="216"/>
      <c r="K798" s="216"/>
      <c r="AX798" s="55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55"/>
      <c r="BT798" s="55"/>
      <c r="BU798" s="55"/>
      <c r="BV798" s="55"/>
      <c r="BW798" s="55"/>
      <c r="BX798" s="55"/>
      <c r="BY798" s="55"/>
    </row>
    <row r="799">
      <c r="I799" s="216"/>
      <c r="J799" s="216"/>
      <c r="K799" s="216"/>
      <c r="AX799" s="55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55"/>
      <c r="BT799" s="55"/>
      <c r="BU799" s="55"/>
      <c r="BV799" s="55"/>
      <c r="BW799" s="55"/>
      <c r="BX799" s="55"/>
      <c r="BY799" s="55"/>
    </row>
    <row r="800">
      <c r="I800" s="216"/>
      <c r="J800" s="216"/>
      <c r="K800" s="216"/>
      <c r="AX800" s="55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55"/>
      <c r="BT800" s="55"/>
      <c r="BU800" s="55"/>
      <c r="BV800" s="55"/>
      <c r="BW800" s="55"/>
      <c r="BX800" s="55"/>
      <c r="BY800" s="55"/>
    </row>
    <row r="801">
      <c r="I801" s="216"/>
      <c r="J801" s="216"/>
      <c r="K801" s="216"/>
      <c r="AX801" s="55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55"/>
      <c r="BT801" s="55"/>
      <c r="BU801" s="55"/>
      <c r="BV801" s="55"/>
      <c r="BW801" s="55"/>
      <c r="BX801" s="55"/>
      <c r="BY801" s="55"/>
    </row>
    <row r="802">
      <c r="I802" s="216"/>
      <c r="J802" s="216"/>
      <c r="K802" s="216"/>
      <c r="AX802" s="55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55"/>
      <c r="BT802" s="55"/>
      <c r="BU802" s="55"/>
      <c r="BV802" s="55"/>
      <c r="BW802" s="55"/>
      <c r="BX802" s="55"/>
      <c r="BY802" s="55"/>
    </row>
    <row r="803">
      <c r="I803" s="216"/>
      <c r="J803" s="216"/>
      <c r="K803" s="216"/>
      <c r="AX803" s="55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55"/>
      <c r="BT803" s="55"/>
      <c r="BU803" s="55"/>
      <c r="BV803" s="55"/>
      <c r="BW803" s="55"/>
      <c r="BX803" s="55"/>
      <c r="BY803" s="55"/>
    </row>
    <row r="804">
      <c r="I804" s="216"/>
      <c r="J804" s="216"/>
      <c r="K804" s="216"/>
      <c r="AX804" s="55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55"/>
      <c r="BT804" s="55"/>
      <c r="BU804" s="55"/>
      <c r="BV804" s="55"/>
      <c r="BW804" s="55"/>
      <c r="BX804" s="55"/>
      <c r="BY804" s="55"/>
    </row>
    <row r="805">
      <c r="I805" s="216"/>
      <c r="J805" s="216"/>
      <c r="K805" s="216"/>
      <c r="AX805" s="55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55"/>
      <c r="BT805" s="55"/>
      <c r="BU805" s="55"/>
      <c r="BV805" s="55"/>
      <c r="BW805" s="55"/>
      <c r="BX805" s="55"/>
      <c r="BY805" s="55"/>
    </row>
    <row r="806">
      <c r="I806" s="216"/>
      <c r="J806" s="216"/>
      <c r="K806" s="216"/>
      <c r="AX806" s="55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55"/>
      <c r="BT806" s="55"/>
      <c r="BU806" s="55"/>
      <c r="BV806" s="55"/>
      <c r="BW806" s="55"/>
      <c r="BX806" s="55"/>
      <c r="BY806" s="55"/>
    </row>
    <row r="807">
      <c r="I807" s="216"/>
      <c r="J807" s="216"/>
      <c r="K807" s="216"/>
      <c r="AX807" s="55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55"/>
      <c r="BT807" s="55"/>
      <c r="BU807" s="55"/>
      <c r="BV807" s="55"/>
      <c r="BW807" s="55"/>
      <c r="BX807" s="55"/>
      <c r="BY807" s="55"/>
    </row>
    <row r="808">
      <c r="I808" s="216"/>
      <c r="J808" s="216"/>
      <c r="K808" s="216"/>
      <c r="AX808" s="55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55"/>
      <c r="BT808" s="55"/>
      <c r="BU808" s="55"/>
      <c r="BV808" s="55"/>
      <c r="BW808" s="55"/>
      <c r="BX808" s="55"/>
      <c r="BY808" s="55"/>
    </row>
    <row r="809">
      <c r="I809" s="216"/>
      <c r="J809" s="216"/>
      <c r="K809" s="216"/>
      <c r="AX809" s="55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55"/>
      <c r="BT809" s="55"/>
      <c r="BU809" s="55"/>
      <c r="BV809" s="55"/>
      <c r="BW809" s="55"/>
      <c r="BX809" s="55"/>
      <c r="BY809" s="55"/>
    </row>
    <row r="810">
      <c r="I810" s="216"/>
      <c r="J810" s="216"/>
      <c r="K810" s="216"/>
      <c r="AX810" s="55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55"/>
      <c r="BT810" s="55"/>
      <c r="BU810" s="55"/>
      <c r="BV810" s="55"/>
      <c r="BW810" s="55"/>
      <c r="BX810" s="55"/>
      <c r="BY810" s="55"/>
    </row>
    <row r="811">
      <c r="I811" s="216"/>
      <c r="J811" s="216"/>
      <c r="K811" s="216"/>
      <c r="AX811" s="55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55"/>
      <c r="BT811" s="55"/>
      <c r="BU811" s="55"/>
      <c r="BV811" s="55"/>
      <c r="BW811" s="55"/>
      <c r="BX811" s="55"/>
      <c r="BY811" s="55"/>
    </row>
    <row r="812">
      <c r="I812" s="216"/>
      <c r="J812" s="216"/>
      <c r="K812" s="216"/>
      <c r="AX812" s="55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55"/>
      <c r="BT812" s="55"/>
      <c r="BU812" s="55"/>
      <c r="BV812" s="55"/>
      <c r="BW812" s="55"/>
      <c r="BX812" s="55"/>
      <c r="BY812" s="55"/>
    </row>
    <row r="813">
      <c r="I813" s="216"/>
      <c r="J813" s="216"/>
      <c r="K813" s="216"/>
      <c r="AX813" s="55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55"/>
      <c r="BT813" s="55"/>
      <c r="BU813" s="55"/>
      <c r="BV813" s="55"/>
      <c r="BW813" s="55"/>
      <c r="BX813" s="55"/>
      <c r="BY813" s="55"/>
    </row>
    <row r="814">
      <c r="I814" s="216"/>
      <c r="J814" s="216"/>
      <c r="K814" s="216"/>
      <c r="AX814" s="55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55"/>
      <c r="BT814" s="55"/>
      <c r="BU814" s="55"/>
      <c r="BV814" s="55"/>
      <c r="BW814" s="55"/>
      <c r="BX814" s="55"/>
      <c r="BY814" s="55"/>
    </row>
    <row r="815">
      <c r="I815" s="216"/>
      <c r="J815" s="216"/>
      <c r="K815" s="216"/>
      <c r="AX815" s="55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55"/>
      <c r="BT815" s="55"/>
      <c r="BU815" s="55"/>
      <c r="BV815" s="55"/>
      <c r="BW815" s="55"/>
      <c r="BX815" s="55"/>
      <c r="BY815" s="55"/>
    </row>
    <row r="816">
      <c r="I816" s="216"/>
      <c r="J816" s="216"/>
      <c r="K816" s="216"/>
      <c r="AX816" s="55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55"/>
      <c r="BT816" s="55"/>
      <c r="BU816" s="55"/>
      <c r="BV816" s="55"/>
      <c r="BW816" s="55"/>
      <c r="BX816" s="55"/>
      <c r="BY816" s="55"/>
    </row>
    <row r="817">
      <c r="I817" s="216"/>
      <c r="J817" s="216"/>
      <c r="K817" s="216"/>
      <c r="AX817" s="55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55"/>
      <c r="BT817" s="55"/>
      <c r="BU817" s="55"/>
      <c r="BV817" s="55"/>
      <c r="BW817" s="55"/>
      <c r="BX817" s="55"/>
      <c r="BY817" s="55"/>
    </row>
    <row r="818">
      <c r="I818" s="216"/>
      <c r="J818" s="216"/>
      <c r="K818" s="216"/>
      <c r="AX818" s="55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55"/>
      <c r="BT818" s="55"/>
      <c r="BU818" s="55"/>
      <c r="BV818" s="55"/>
      <c r="BW818" s="55"/>
      <c r="BX818" s="55"/>
      <c r="BY818" s="55"/>
    </row>
    <row r="819">
      <c r="I819" s="216"/>
      <c r="J819" s="216"/>
      <c r="K819" s="216"/>
      <c r="AX819" s="55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55"/>
      <c r="BT819" s="55"/>
      <c r="BU819" s="55"/>
      <c r="BV819" s="55"/>
      <c r="BW819" s="55"/>
      <c r="BX819" s="55"/>
      <c r="BY819" s="55"/>
    </row>
    <row r="820">
      <c r="I820" s="216"/>
      <c r="J820" s="216"/>
      <c r="K820" s="216"/>
      <c r="AX820" s="55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55"/>
      <c r="BT820" s="55"/>
      <c r="BU820" s="55"/>
      <c r="BV820" s="55"/>
      <c r="BW820" s="55"/>
      <c r="BX820" s="55"/>
      <c r="BY820" s="55"/>
    </row>
    <row r="821">
      <c r="I821" s="216"/>
      <c r="J821" s="216"/>
      <c r="K821" s="216"/>
      <c r="AX821" s="55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55"/>
      <c r="BT821" s="55"/>
      <c r="BU821" s="55"/>
      <c r="BV821" s="55"/>
      <c r="BW821" s="55"/>
      <c r="BX821" s="55"/>
      <c r="BY821" s="55"/>
    </row>
    <row r="822">
      <c r="I822" s="216"/>
      <c r="J822" s="216"/>
      <c r="K822" s="216"/>
      <c r="AX822" s="55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55"/>
      <c r="BT822" s="55"/>
      <c r="BU822" s="55"/>
      <c r="BV822" s="55"/>
      <c r="BW822" s="55"/>
      <c r="BX822" s="55"/>
      <c r="BY822" s="55"/>
    </row>
    <row r="823">
      <c r="I823" s="216"/>
      <c r="J823" s="216"/>
      <c r="K823" s="216"/>
      <c r="AX823" s="55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55"/>
      <c r="BT823" s="55"/>
      <c r="BU823" s="55"/>
      <c r="BV823" s="55"/>
      <c r="BW823" s="55"/>
      <c r="BX823" s="55"/>
      <c r="BY823" s="55"/>
    </row>
    <row r="824">
      <c r="I824" s="216"/>
      <c r="J824" s="216"/>
      <c r="K824" s="216"/>
      <c r="AX824" s="55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55"/>
      <c r="BT824" s="55"/>
      <c r="BU824" s="55"/>
      <c r="BV824" s="55"/>
      <c r="BW824" s="55"/>
      <c r="BX824" s="55"/>
      <c r="BY824" s="55"/>
    </row>
    <row r="825">
      <c r="I825" s="216"/>
      <c r="J825" s="216"/>
      <c r="K825" s="216"/>
      <c r="AX825" s="55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55"/>
      <c r="BT825" s="55"/>
      <c r="BU825" s="55"/>
      <c r="BV825" s="55"/>
      <c r="BW825" s="55"/>
      <c r="BX825" s="55"/>
      <c r="BY825" s="55"/>
    </row>
    <row r="826">
      <c r="I826" s="216"/>
      <c r="J826" s="216"/>
      <c r="K826" s="216"/>
      <c r="AX826" s="55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55"/>
      <c r="BT826" s="55"/>
      <c r="BU826" s="55"/>
      <c r="BV826" s="55"/>
      <c r="BW826" s="55"/>
      <c r="BX826" s="55"/>
      <c r="BY826" s="55"/>
    </row>
    <row r="827">
      <c r="I827" s="216"/>
      <c r="J827" s="216"/>
      <c r="K827" s="216"/>
      <c r="AX827" s="55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55"/>
      <c r="BT827" s="55"/>
      <c r="BU827" s="55"/>
      <c r="BV827" s="55"/>
      <c r="BW827" s="55"/>
      <c r="BX827" s="55"/>
      <c r="BY827" s="55"/>
    </row>
    <row r="828">
      <c r="I828" s="216"/>
      <c r="J828" s="216"/>
      <c r="K828" s="216"/>
      <c r="AX828" s="55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55"/>
      <c r="BT828" s="55"/>
      <c r="BU828" s="55"/>
      <c r="BV828" s="55"/>
      <c r="BW828" s="55"/>
      <c r="BX828" s="55"/>
      <c r="BY828" s="55"/>
    </row>
    <row r="829">
      <c r="I829" s="216"/>
      <c r="J829" s="216"/>
      <c r="K829" s="216"/>
      <c r="AX829" s="55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55"/>
      <c r="BT829" s="55"/>
      <c r="BU829" s="55"/>
      <c r="BV829" s="55"/>
      <c r="BW829" s="55"/>
      <c r="BX829" s="55"/>
      <c r="BY829" s="55"/>
    </row>
    <row r="830">
      <c r="I830" s="216"/>
      <c r="J830" s="216"/>
      <c r="K830" s="216"/>
      <c r="AX830" s="55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55"/>
      <c r="BT830" s="55"/>
      <c r="BU830" s="55"/>
      <c r="BV830" s="55"/>
      <c r="BW830" s="55"/>
      <c r="BX830" s="55"/>
      <c r="BY830" s="55"/>
    </row>
    <row r="831">
      <c r="I831" s="216"/>
      <c r="J831" s="216"/>
      <c r="K831" s="216"/>
      <c r="AX831" s="55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55"/>
      <c r="BT831" s="55"/>
      <c r="BU831" s="55"/>
      <c r="BV831" s="55"/>
      <c r="BW831" s="55"/>
      <c r="BX831" s="55"/>
      <c r="BY831" s="55"/>
    </row>
    <row r="832">
      <c r="I832" s="216"/>
      <c r="J832" s="216"/>
      <c r="K832" s="216"/>
      <c r="AX832" s="55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55"/>
      <c r="BT832" s="55"/>
      <c r="BU832" s="55"/>
      <c r="BV832" s="55"/>
      <c r="BW832" s="55"/>
      <c r="BX832" s="55"/>
      <c r="BY832" s="55"/>
    </row>
    <row r="833">
      <c r="I833" s="216"/>
      <c r="J833" s="216"/>
      <c r="K833" s="216"/>
      <c r="AX833" s="55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55"/>
      <c r="BT833" s="55"/>
      <c r="BU833" s="55"/>
      <c r="BV833" s="55"/>
      <c r="BW833" s="55"/>
      <c r="BX833" s="55"/>
      <c r="BY833" s="55"/>
    </row>
    <row r="834">
      <c r="I834" s="216"/>
      <c r="J834" s="216"/>
      <c r="K834" s="216"/>
      <c r="AX834" s="55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55"/>
      <c r="BT834" s="55"/>
      <c r="BU834" s="55"/>
      <c r="BV834" s="55"/>
      <c r="BW834" s="55"/>
      <c r="BX834" s="55"/>
      <c r="BY834" s="55"/>
    </row>
    <row r="835">
      <c r="I835" s="216"/>
      <c r="J835" s="216"/>
      <c r="K835" s="216"/>
      <c r="AX835" s="55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55"/>
      <c r="BT835" s="55"/>
      <c r="BU835" s="55"/>
      <c r="BV835" s="55"/>
      <c r="BW835" s="55"/>
      <c r="BX835" s="55"/>
      <c r="BY835" s="55"/>
    </row>
    <row r="836">
      <c r="I836" s="216"/>
      <c r="J836" s="216"/>
      <c r="K836" s="216"/>
      <c r="AX836" s="55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55"/>
      <c r="BT836" s="55"/>
      <c r="BU836" s="55"/>
      <c r="BV836" s="55"/>
      <c r="BW836" s="55"/>
      <c r="BX836" s="55"/>
      <c r="BY836" s="55"/>
    </row>
    <row r="837">
      <c r="I837" s="216"/>
      <c r="J837" s="216"/>
      <c r="K837" s="216"/>
      <c r="AX837" s="55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55"/>
      <c r="BT837" s="55"/>
      <c r="BU837" s="55"/>
      <c r="BV837" s="55"/>
      <c r="BW837" s="55"/>
      <c r="BX837" s="55"/>
      <c r="BY837" s="55"/>
    </row>
    <row r="838">
      <c r="I838" s="216"/>
      <c r="J838" s="216"/>
      <c r="K838" s="216"/>
      <c r="AX838" s="55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55"/>
      <c r="BT838" s="55"/>
      <c r="BU838" s="55"/>
      <c r="BV838" s="55"/>
      <c r="BW838" s="55"/>
      <c r="BX838" s="55"/>
      <c r="BY838" s="55"/>
    </row>
    <row r="839">
      <c r="I839" s="216"/>
      <c r="J839" s="216"/>
      <c r="K839" s="216"/>
      <c r="AX839" s="55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55"/>
      <c r="BT839" s="55"/>
      <c r="BU839" s="55"/>
      <c r="BV839" s="55"/>
      <c r="BW839" s="55"/>
      <c r="BX839" s="55"/>
      <c r="BY839" s="55"/>
    </row>
    <row r="840">
      <c r="I840" s="216"/>
      <c r="J840" s="216"/>
      <c r="K840" s="216"/>
      <c r="AX840" s="55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55"/>
      <c r="BT840" s="55"/>
      <c r="BU840" s="55"/>
      <c r="BV840" s="55"/>
      <c r="BW840" s="55"/>
      <c r="BX840" s="55"/>
      <c r="BY840" s="55"/>
    </row>
    <row r="841">
      <c r="I841" s="216"/>
      <c r="J841" s="216"/>
      <c r="K841" s="216"/>
      <c r="AX841" s="55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55"/>
      <c r="BT841" s="55"/>
      <c r="BU841" s="55"/>
      <c r="BV841" s="55"/>
      <c r="BW841" s="55"/>
      <c r="BX841" s="55"/>
      <c r="BY841" s="55"/>
    </row>
    <row r="842">
      <c r="I842" s="216"/>
      <c r="J842" s="216"/>
      <c r="K842" s="216"/>
      <c r="AX842" s="55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55"/>
      <c r="BT842" s="55"/>
      <c r="BU842" s="55"/>
      <c r="BV842" s="55"/>
      <c r="BW842" s="55"/>
      <c r="BX842" s="55"/>
      <c r="BY842" s="55"/>
    </row>
    <row r="843">
      <c r="I843" s="216"/>
      <c r="J843" s="216"/>
      <c r="K843" s="216"/>
      <c r="AX843" s="55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55"/>
      <c r="BT843" s="55"/>
      <c r="BU843" s="55"/>
      <c r="BV843" s="55"/>
      <c r="BW843" s="55"/>
      <c r="BX843" s="55"/>
      <c r="BY843" s="55"/>
    </row>
    <row r="844">
      <c r="I844" s="216"/>
      <c r="J844" s="216"/>
      <c r="K844" s="216"/>
      <c r="AX844" s="55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55"/>
      <c r="BT844" s="55"/>
      <c r="BU844" s="55"/>
      <c r="BV844" s="55"/>
      <c r="BW844" s="55"/>
      <c r="BX844" s="55"/>
      <c r="BY844" s="55"/>
    </row>
    <row r="845">
      <c r="I845" s="216"/>
      <c r="J845" s="216"/>
      <c r="K845" s="216"/>
      <c r="AX845" s="55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55"/>
      <c r="BT845" s="55"/>
      <c r="BU845" s="55"/>
      <c r="BV845" s="55"/>
      <c r="BW845" s="55"/>
      <c r="BX845" s="55"/>
      <c r="BY845" s="55"/>
    </row>
    <row r="846">
      <c r="I846" s="216"/>
      <c r="J846" s="216"/>
      <c r="K846" s="216"/>
      <c r="AX846" s="55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55"/>
      <c r="BT846" s="55"/>
      <c r="BU846" s="55"/>
      <c r="BV846" s="55"/>
      <c r="BW846" s="55"/>
      <c r="BX846" s="55"/>
      <c r="BY846" s="55"/>
    </row>
    <row r="847">
      <c r="I847" s="216"/>
      <c r="J847" s="216"/>
      <c r="K847" s="216"/>
      <c r="AX847" s="55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55"/>
      <c r="BT847" s="55"/>
      <c r="BU847" s="55"/>
      <c r="BV847" s="55"/>
      <c r="BW847" s="55"/>
      <c r="BX847" s="55"/>
      <c r="BY847" s="55"/>
    </row>
    <row r="848">
      <c r="I848" s="216"/>
      <c r="J848" s="216"/>
      <c r="K848" s="216"/>
      <c r="AX848" s="55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55"/>
      <c r="BT848" s="55"/>
      <c r="BU848" s="55"/>
      <c r="BV848" s="55"/>
      <c r="BW848" s="55"/>
      <c r="BX848" s="55"/>
      <c r="BY848" s="55"/>
    </row>
    <row r="849">
      <c r="I849" s="216"/>
      <c r="J849" s="216"/>
      <c r="K849" s="216"/>
      <c r="AX849" s="55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55"/>
      <c r="BT849" s="55"/>
      <c r="BU849" s="55"/>
      <c r="BV849" s="55"/>
      <c r="BW849" s="55"/>
      <c r="BX849" s="55"/>
      <c r="BY849" s="55"/>
    </row>
    <row r="850">
      <c r="I850" s="216"/>
      <c r="J850" s="216"/>
      <c r="K850" s="216"/>
      <c r="AX850" s="55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55"/>
      <c r="BT850" s="55"/>
      <c r="BU850" s="55"/>
      <c r="BV850" s="55"/>
      <c r="BW850" s="55"/>
      <c r="BX850" s="55"/>
      <c r="BY850" s="55"/>
    </row>
    <row r="851">
      <c r="I851" s="216"/>
      <c r="J851" s="216"/>
      <c r="K851" s="216"/>
      <c r="AX851" s="55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55"/>
      <c r="BT851" s="55"/>
      <c r="BU851" s="55"/>
      <c r="BV851" s="55"/>
      <c r="BW851" s="55"/>
      <c r="BX851" s="55"/>
      <c r="BY851" s="55"/>
    </row>
    <row r="852">
      <c r="I852" s="216"/>
      <c r="J852" s="216"/>
      <c r="K852" s="216"/>
      <c r="AX852" s="55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55"/>
      <c r="BT852" s="55"/>
      <c r="BU852" s="55"/>
      <c r="BV852" s="55"/>
      <c r="BW852" s="55"/>
      <c r="BX852" s="55"/>
      <c r="BY852" s="55"/>
    </row>
    <row r="853">
      <c r="I853" s="216"/>
      <c r="J853" s="216"/>
      <c r="K853" s="216"/>
      <c r="AX853" s="55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55"/>
      <c r="BT853" s="55"/>
      <c r="BU853" s="55"/>
      <c r="BV853" s="55"/>
      <c r="BW853" s="55"/>
      <c r="BX853" s="55"/>
      <c r="BY853" s="55"/>
    </row>
    <row r="854">
      <c r="I854" s="216"/>
      <c r="J854" s="216"/>
      <c r="K854" s="216"/>
      <c r="AX854" s="55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55"/>
      <c r="BT854" s="55"/>
      <c r="BU854" s="55"/>
      <c r="BV854" s="55"/>
      <c r="BW854" s="55"/>
      <c r="BX854" s="55"/>
      <c r="BY854" s="55"/>
    </row>
    <row r="855">
      <c r="I855" s="216"/>
      <c r="J855" s="216"/>
      <c r="K855" s="216"/>
      <c r="AX855" s="55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55"/>
      <c r="BT855" s="55"/>
      <c r="BU855" s="55"/>
      <c r="BV855" s="55"/>
      <c r="BW855" s="55"/>
      <c r="BX855" s="55"/>
      <c r="BY855" s="55"/>
    </row>
    <row r="856">
      <c r="I856" s="216"/>
      <c r="J856" s="216"/>
      <c r="K856" s="216"/>
      <c r="AX856" s="55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55"/>
      <c r="BT856" s="55"/>
      <c r="BU856" s="55"/>
      <c r="BV856" s="55"/>
      <c r="BW856" s="55"/>
      <c r="BX856" s="55"/>
      <c r="BY856" s="55"/>
    </row>
    <row r="857">
      <c r="I857" s="216"/>
      <c r="J857" s="216"/>
      <c r="K857" s="216"/>
      <c r="AX857" s="55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55"/>
      <c r="BT857" s="55"/>
      <c r="BU857" s="55"/>
      <c r="BV857" s="55"/>
      <c r="BW857" s="55"/>
      <c r="BX857" s="55"/>
      <c r="BY857" s="55"/>
    </row>
    <row r="858">
      <c r="I858" s="216"/>
      <c r="J858" s="216"/>
      <c r="K858" s="216"/>
      <c r="AX858" s="55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55"/>
      <c r="BT858" s="55"/>
      <c r="BU858" s="55"/>
      <c r="BV858" s="55"/>
      <c r="BW858" s="55"/>
      <c r="BX858" s="55"/>
      <c r="BY858" s="55"/>
    </row>
    <row r="859">
      <c r="I859" s="216"/>
      <c r="J859" s="216"/>
      <c r="K859" s="216"/>
      <c r="AX859" s="55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55"/>
      <c r="BT859" s="55"/>
      <c r="BU859" s="55"/>
      <c r="BV859" s="55"/>
      <c r="BW859" s="55"/>
      <c r="BX859" s="55"/>
      <c r="BY859" s="55"/>
    </row>
    <row r="860">
      <c r="I860" s="216"/>
      <c r="J860" s="216"/>
      <c r="K860" s="216"/>
      <c r="AX860" s="55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55"/>
      <c r="BT860" s="55"/>
      <c r="BU860" s="55"/>
      <c r="BV860" s="55"/>
      <c r="BW860" s="55"/>
      <c r="BX860" s="55"/>
      <c r="BY860" s="55"/>
    </row>
    <row r="861">
      <c r="I861" s="216"/>
      <c r="J861" s="216"/>
      <c r="K861" s="216"/>
      <c r="AX861" s="55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55"/>
      <c r="BT861" s="55"/>
      <c r="BU861" s="55"/>
      <c r="BV861" s="55"/>
      <c r="BW861" s="55"/>
      <c r="BX861" s="55"/>
      <c r="BY861" s="55"/>
    </row>
    <row r="862">
      <c r="I862" s="216"/>
      <c r="J862" s="216"/>
      <c r="K862" s="216"/>
      <c r="AX862" s="55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55"/>
      <c r="BT862" s="55"/>
      <c r="BU862" s="55"/>
      <c r="BV862" s="55"/>
      <c r="BW862" s="55"/>
      <c r="BX862" s="55"/>
      <c r="BY862" s="55"/>
    </row>
    <row r="863">
      <c r="I863" s="216"/>
      <c r="J863" s="216"/>
      <c r="K863" s="216"/>
      <c r="AX863" s="55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55"/>
      <c r="BT863" s="55"/>
      <c r="BU863" s="55"/>
      <c r="BV863" s="55"/>
      <c r="BW863" s="55"/>
      <c r="BX863" s="55"/>
      <c r="BY863" s="55"/>
    </row>
    <row r="864">
      <c r="I864" s="216"/>
      <c r="J864" s="216"/>
      <c r="K864" s="216"/>
      <c r="AX864" s="55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55"/>
      <c r="BT864" s="55"/>
      <c r="BU864" s="55"/>
      <c r="BV864" s="55"/>
      <c r="BW864" s="55"/>
      <c r="BX864" s="55"/>
      <c r="BY864" s="55"/>
    </row>
    <row r="865">
      <c r="I865" s="216"/>
      <c r="J865" s="216"/>
      <c r="K865" s="216"/>
      <c r="AX865" s="55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55"/>
      <c r="BT865" s="55"/>
      <c r="BU865" s="55"/>
      <c r="BV865" s="55"/>
      <c r="BW865" s="55"/>
      <c r="BX865" s="55"/>
      <c r="BY865" s="55"/>
    </row>
    <row r="866">
      <c r="I866" s="216"/>
      <c r="J866" s="216"/>
      <c r="K866" s="216"/>
      <c r="AX866" s="55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55"/>
      <c r="BT866" s="55"/>
      <c r="BU866" s="55"/>
      <c r="BV866" s="55"/>
      <c r="BW866" s="55"/>
      <c r="BX866" s="55"/>
      <c r="BY866" s="55"/>
    </row>
    <row r="867">
      <c r="I867" s="216"/>
      <c r="J867" s="216"/>
      <c r="K867" s="216"/>
      <c r="AX867" s="55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55"/>
      <c r="BT867" s="55"/>
      <c r="BU867" s="55"/>
      <c r="BV867" s="55"/>
      <c r="BW867" s="55"/>
      <c r="BX867" s="55"/>
      <c r="BY867" s="55"/>
    </row>
    <row r="868">
      <c r="I868" s="216"/>
      <c r="J868" s="216"/>
      <c r="K868" s="216"/>
      <c r="AX868" s="55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55"/>
      <c r="BT868" s="55"/>
      <c r="BU868" s="55"/>
      <c r="BV868" s="55"/>
      <c r="BW868" s="55"/>
      <c r="BX868" s="55"/>
      <c r="BY868" s="55"/>
    </row>
    <row r="869">
      <c r="I869" s="216"/>
      <c r="J869" s="216"/>
      <c r="K869" s="216"/>
      <c r="AX869" s="55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55"/>
      <c r="BT869" s="55"/>
      <c r="BU869" s="55"/>
      <c r="BV869" s="55"/>
      <c r="BW869" s="55"/>
      <c r="BX869" s="55"/>
      <c r="BY869" s="55"/>
    </row>
    <row r="870">
      <c r="I870" s="216"/>
      <c r="J870" s="216"/>
      <c r="K870" s="216"/>
      <c r="AX870" s="55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55"/>
      <c r="BT870" s="55"/>
      <c r="BU870" s="55"/>
      <c r="BV870" s="55"/>
      <c r="BW870" s="55"/>
      <c r="BX870" s="55"/>
      <c r="BY870" s="55"/>
    </row>
    <row r="871">
      <c r="I871" s="216"/>
      <c r="J871" s="216"/>
      <c r="K871" s="216"/>
      <c r="AX871" s="55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55"/>
      <c r="BT871" s="55"/>
      <c r="BU871" s="55"/>
      <c r="BV871" s="55"/>
      <c r="BW871" s="55"/>
      <c r="BX871" s="55"/>
      <c r="BY871" s="55"/>
    </row>
    <row r="872">
      <c r="I872" s="216"/>
      <c r="J872" s="216"/>
      <c r="K872" s="216"/>
      <c r="AX872" s="55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55"/>
      <c r="BT872" s="55"/>
      <c r="BU872" s="55"/>
      <c r="BV872" s="55"/>
      <c r="BW872" s="55"/>
      <c r="BX872" s="55"/>
      <c r="BY872" s="55"/>
    </row>
    <row r="873">
      <c r="I873" s="216"/>
      <c r="J873" s="216"/>
      <c r="K873" s="216"/>
      <c r="AX873" s="55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55"/>
      <c r="BT873" s="55"/>
      <c r="BU873" s="55"/>
      <c r="BV873" s="55"/>
      <c r="BW873" s="55"/>
      <c r="BX873" s="55"/>
      <c r="BY873" s="55"/>
    </row>
    <row r="874">
      <c r="I874" s="216"/>
      <c r="J874" s="216"/>
      <c r="K874" s="216"/>
      <c r="AX874" s="55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55"/>
      <c r="BT874" s="55"/>
      <c r="BU874" s="55"/>
      <c r="BV874" s="55"/>
      <c r="BW874" s="55"/>
      <c r="BX874" s="55"/>
      <c r="BY874" s="55"/>
    </row>
    <row r="875">
      <c r="I875" s="216"/>
      <c r="J875" s="216"/>
      <c r="K875" s="216"/>
      <c r="AX875" s="55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55"/>
      <c r="BT875" s="55"/>
      <c r="BU875" s="55"/>
      <c r="BV875" s="55"/>
      <c r="BW875" s="55"/>
      <c r="BX875" s="55"/>
      <c r="BY875" s="55"/>
    </row>
    <row r="876">
      <c r="I876" s="216"/>
      <c r="J876" s="216"/>
      <c r="K876" s="216"/>
      <c r="AX876" s="55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55"/>
      <c r="BT876" s="55"/>
      <c r="BU876" s="55"/>
      <c r="BV876" s="55"/>
      <c r="BW876" s="55"/>
      <c r="BX876" s="55"/>
      <c r="BY876" s="55"/>
    </row>
    <row r="877">
      <c r="I877" s="216"/>
      <c r="J877" s="216"/>
      <c r="K877" s="216"/>
      <c r="AX877" s="55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55"/>
      <c r="BT877" s="55"/>
      <c r="BU877" s="55"/>
      <c r="BV877" s="55"/>
      <c r="BW877" s="55"/>
      <c r="BX877" s="55"/>
      <c r="BY877" s="55"/>
    </row>
    <row r="878">
      <c r="I878" s="216"/>
      <c r="J878" s="216"/>
      <c r="K878" s="216"/>
      <c r="AX878" s="55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55"/>
      <c r="BT878" s="55"/>
      <c r="BU878" s="55"/>
      <c r="BV878" s="55"/>
      <c r="BW878" s="55"/>
      <c r="BX878" s="55"/>
      <c r="BY878" s="55"/>
    </row>
    <row r="879">
      <c r="I879" s="216"/>
      <c r="J879" s="216"/>
      <c r="K879" s="216"/>
      <c r="AX879" s="55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55"/>
      <c r="BT879" s="55"/>
      <c r="BU879" s="55"/>
      <c r="BV879" s="55"/>
      <c r="BW879" s="55"/>
      <c r="BX879" s="55"/>
      <c r="BY879" s="55"/>
    </row>
    <row r="880">
      <c r="I880" s="216"/>
      <c r="J880" s="216"/>
      <c r="K880" s="216"/>
      <c r="AX880" s="55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55"/>
      <c r="BT880" s="55"/>
      <c r="BU880" s="55"/>
      <c r="BV880" s="55"/>
      <c r="BW880" s="55"/>
      <c r="BX880" s="55"/>
      <c r="BY880" s="55"/>
    </row>
    <row r="881">
      <c r="I881" s="216"/>
      <c r="J881" s="216"/>
      <c r="K881" s="216"/>
      <c r="AX881" s="55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55"/>
      <c r="BT881" s="55"/>
      <c r="BU881" s="55"/>
      <c r="BV881" s="55"/>
      <c r="BW881" s="55"/>
      <c r="BX881" s="55"/>
      <c r="BY881" s="55"/>
    </row>
    <row r="882">
      <c r="I882" s="216"/>
      <c r="J882" s="216"/>
      <c r="K882" s="216"/>
      <c r="AX882" s="55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55"/>
      <c r="BT882" s="55"/>
      <c r="BU882" s="55"/>
      <c r="BV882" s="55"/>
      <c r="BW882" s="55"/>
      <c r="BX882" s="55"/>
      <c r="BY882" s="55"/>
    </row>
    <row r="883">
      <c r="I883" s="216"/>
      <c r="J883" s="216"/>
      <c r="K883" s="216"/>
      <c r="AX883" s="55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55"/>
      <c r="BT883" s="55"/>
      <c r="BU883" s="55"/>
      <c r="BV883" s="55"/>
      <c r="BW883" s="55"/>
      <c r="BX883" s="55"/>
      <c r="BY883" s="55"/>
    </row>
    <row r="884">
      <c r="I884" s="216"/>
      <c r="J884" s="216"/>
      <c r="K884" s="216"/>
      <c r="AX884" s="55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55"/>
      <c r="BT884" s="55"/>
      <c r="BU884" s="55"/>
      <c r="BV884" s="55"/>
      <c r="BW884" s="55"/>
      <c r="BX884" s="55"/>
      <c r="BY884" s="55"/>
    </row>
    <row r="885">
      <c r="I885" s="216"/>
      <c r="J885" s="216"/>
      <c r="K885" s="216"/>
      <c r="AX885" s="55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55"/>
      <c r="BT885" s="55"/>
      <c r="BU885" s="55"/>
      <c r="BV885" s="55"/>
      <c r="BW885" s="55"/>
      <c r="BX885" s="55"/>
      <c r="BY885" s="55"/>
    </row>
    <row r="886">
      <c r="I886" s="216"/>
      <c r="J886" s="216"/>
      <c r="K886" s="216"/>
      <c r="AX886" s="55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55"/>
      <c r="BT886" s="55"/>
      <c r="BU886" s="55"/>
      <c r="BV886" s="55"/>
      <c r="BW886" s="55"/>
      <c r="BX886" s="55"/>
      <c r="BY886" s="55"/>
    </row>
    <row r="887">
      <c r="I887" s="216"/>
      <c r="J887" s="216"/>
      <c r="K887" s="216"/>
      <c r="AX887" s="55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55"/>
      <c r="BT887" s="55"/>
      <c r="BU887" s="55"/>
      <c r="BV887" s="55"/>
      <c r="BW887" s="55"/>
      <c r="BX887" s="55"/>
      <c r="BY887" s="55"/>
    </row>
    <row r="888">
      <c r="I888" s="216"/>
      <c r="J888" s="216"/>
      <c r="K888" s="216"/>
      <c r="AX888" s="55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55"/>
      <c r="BT888" s="55"/>
      <c r="BU888" s="55"/>
      <c r="BV888" s="55"/>
      <c r="BW888" s="55"/>
      <c r="BX888" s="55"/>
      <c r="BY888" s="55"/>
    </row>
    <row r="889">
      <c r="I889" s="216"/>
      <c r="J889" s="216"/>
      <c r="K889" s="216"/>
      <c r="AX889" s="55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55"/>
      <c r="BT889" s="55"/>
      <c r="BU889" s="55"/>
      <c r="BV889" s="55"/>
      <c r="BW889" s="55"/>
      <c r="BX889" s="55"/>
      <c r="BY889" s="55"/>
    </row>
    <row r="890">
      <c r="I890" s="216"/>
      <c r="J890" s="216"/>
      <c r="K890" s="216"/>
      <c r="AX890" s="55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55"/>
      <c r="BT890" s="55"/>
      <c r="BU890" s="55"/>
      <c r="BV890" s="55"/>
      <c r="BW890" s="55"/>
      <c r="BX890" s="55"/>
      <c r="BY890" s="55"/>
    </row>
    <row r="891">
      <c r="I891" s="216"/>
      <c r="J891" s="216"/>
      <c r="K891" s="216"/>
      <c r="AX891" s="55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55"/>
      <c r="BT891" s="55"/>
      <c r="BU891" s="55"/>
      <c r="BV891" s="55"/>
      <c r="BW891" s="55"/>
      <c r="BX891" s="55"/>
      <c r="BY891" s="55"/>
    </row>
    <row r="892">
      <c r="I892" s="216"/>
      <c r="J892" s="216"/>
      <c r="K892" s="216"/>
      <c r="AX892" s="55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55"/>
      <c r="BT892" s="55"/>
      <c r="BU892" s="55"/>
      <c r="BV892" s="55"/>
      <c r="BW892" s="55"/>
      <c r="BX892" s="55"/>
      <c r="BY892" s="55"/>
    </row>
    <row r="893">
      <c r="I893" s="216"/>
      <c r="J893" s="216"/>
      <c r="K893" s="216"/>
      <c r="AX893" s="55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55"/>
      <c r="BT893" s="55"/>
      <c r="BU893" s="55"/>
      <c r="BV893" s="55"/>
      <c r="BW893" s="55"/>
      <c r="BX893" s="55"/>
      <c r="BY893" s="55"/>
    </row>
    <row r="894">
      <c r="I894" s="216"/>
      <c r="J894" s="216"/>
      <c r="K894" s="216"/>
      <c r="AX894" s="55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55"/>
      <c r="BT894" s="55"/>
      <c r="BU894" s="55"/>
      <c r="BV894" s="55"/>
      <c r="BW894" s="55"/>
      <c r="BX894" s="55"/>
      <c r="BY894" s="55"/>
    </row>
    <row r="895">
      <c r="I895" s="216"/>
      <c r="J895" s="216"/>
      <c r="K895" s="216"/>
      <c r="AX895" s="55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55"/>
      <c r="BT895" s="55"/>
      <c r="BU895" s="55"/>
      <c r="BV895" s="55"/>
      <c r="BW895" s="55"/>
      <c r="BX895" s="55"/>
      <c r="BY895" s="55"/>
    </row>
    <row r="896">
      <c r="I896" s="216"/>
      <c r="J896" s="216"/>
      <c r="K896" s="216"/>
      <c r="AX896" s="55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55"/>
      <c r="BT896" s="55"/>
      <c r="BU896" s="55"/>
      <c r="BV896" s="55"/>
      <c r="BW896" s="55"/>
      <c r="BX896" s="55"/>
      <c r="BY896" s="55"/>
    </row>
    <row r="897">
      <c r="I897" s="216"/>
      <c r="J897" s="216"/>
      <c r="K897" s="216"/>
      <c r="AX897" s="55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55"/>
      <c r="BT897" s="55"/>
      <c r="BU897" s="55"/>
      <c r="BV897" s="55"/>
      <c r="BW897" s="55"/>
      <c r="BX897" s="55"/>
      <c r="BY897" s="55"/>
    </row>
    <row r="898">
      <c r="I898" s="216"/>
      <c r="J898" s="216"/>
      <c r="K898" s="216"/>
      <c r="AX898" s="55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55"/>
      <c r="BT898" s="55"/>
      <c r="BU898" s="55"/>
      <c r="BV898" s="55"/>
      <c r="BW898" s="55"/>
      <c r="BX898" s="55"/>
      <c r="BY898" s="55"/>
    </row>
    <row r="899">
      <c r="I899" s="216"/>
      <c r="J899" s="216"/>
      <c r="K899" s="216"/>
      <c r="AX899" s="55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55"/>
      <c r="BT899" s="55"/>
      <c r="BU899" s="55"/>
      <c r="BV899" s="55"/>
      <c r="BW899" s="55"/>
      <c r="BX899" s="55"/>
      <c r="BY899" s="55"/>
    </row>
    <row r="900">
      <c r="I900" s="216"/>
      <c r="J900" s="216"/>
      <c r="K900" s="216"/>
      <c r="AX900" s="55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55"/>
      <c r="BT900" s="55"/>
      <c r="BU900" s="55"/>
      <c r="BV900" s="55"/>
      <c r="BW900" s="55"/>
      <c r="BX900" s="55"/>
      <c r="BY900" s="55"/>
    </row>
    <row r="901">
      <c r="I901" s="216"/>
      <c r="J901" s="216"/>
      <c r="K901" s="216"/>
      <c r="AX901" s="55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55"/>
      <c r="BT901" s="55"/>
      <c r="BU901" s="55"/>
      <c r="BV901" s="55"/>
      <c r="BW901" s="55"/>
      <c r="BX901" s="55"/>
      <c r="BY901" s="55"/>
    </row>
    <row r="902">
      <c r="I902" s="216"/>
      <c r="J902" s="216"/>
      <c r="K902" s="216"/>
      <c r="AX902" s="55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55"/>
      <c r="BT902" s="55"/>
      <c r="BU902" s="55"/>
      <c r="BV902" s="55"/>
      <c r="BW902" s="55"/>
      <c r="BX902" s="55"/>
      <c r="BY902" s="55"/>
    </row>
    <row r="903">
      <c r="I903" s="216"/>
      <c r="J903" s="216"/>
      <c r="K903" s="216"/>
      <c r="AX903" s="55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55"/>
      <c r="BT903" s="55"/>
      <c r="BU903" s="55"/>
      <c r="BV903" s="55"/>
      <c r="BW903" s="55"/>
      <c r="BX903" s="55"/>
      <c r="BY903" s="55"/>
    </row>
    <row r="904">
      <c r="I904" s="216"/>
      <c r="J904" s="216"/>
      <c r="K904" s="216"/>
      <c r="AX904" s="55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55"/>
      <c r="BT904" s="55"/>
      <c r="BU904" s="55"/>
      <c r="BV904" s="55"/>
      <c r="BW904" s="55"/>
      <c r="BX904" s="55"/>
      <c r="BY904" s="55"/>
    </row>
    <row r="905">
      <c r="I905" s="216"/>
      <c r="J905" s="216"/>
      <c r="K905" s="216"/>
      <c r="AX905" s="55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55"/>
      <c r="BT905" s="55"/>
      <c r="BU905" s="55"/>
      <c r="BV905" s="55"/>
      <c r="BW905" s="55"/>
      <c r="BX905" s="55"/>
      <c r="BY905" s="55"/>
    </row>
    <row r="906">
      <c r="I906" s="216"/>
      <c r="J906" s="216"/>
      <c r="K906" s="216"/>
      <c r="AX906" s="55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55"/>
      <c r="BT906" s="55"/>
      <c r="BU906" s="55"/>
      <c r="BV906" s="55"/>
      <c r="BW906" s="55"/>
      <c r="BX906" s="55"/>
      <c r="BY906" s="55"/>
    </row>
    <row r="907">
      <c r="I907" s="216"/>
      <c r="J907" s="216"/>
      <c r="K907" s="216"/>
      <c r="AX907" s="55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55"/>
      <c r="BT907" s="55"/>
      <c r="BU907" s="55"/>
      <c r="BV907" s="55"/>
      <c r="BW907" s="55"/>
      <c r="BX907" s="55"/>
      <c r="BY907" s="55"/>
    </row>
    <row r="908">
      <c r="I908" s="216"/>
      <c r="J908" s="216"/>
      <c r="K908" s="216"/>
      <c r="AX908" s="55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55"/>
      <c r="BT908" s="55"/>
      <c r="BU908" s="55"/>
      <c r="BV908" s="55"/>
      <c r="BW908" s="55"/>
      <c r="BX908" s="55"/>
      <c r="BY908" s="55"/>
    </row>
    <row r="909">
      <c r="I909" s="216"/>
      <c r="J909" s="216"/>
      <c r="K909" s="216"/>
      <c r="AX909" s="55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55"/>
      <c r="BT909" s="55"/>
      <c r="BU909" s="55"/>
      <c r="BV909" s="55"/>
      <c r="BW909" s="55"/>
      <c r="BX909" s="55"/>
      <c r="BY909" s="55"/>
    </row>
    <row r="910">
      <c r="I910" s="216"/>
      <c r="J910" s="216"/>
      <c r="K910" s="216"/>
      <c r="AX910" s="55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55"/>
      <c r="BT910" s="55"/>
      <c r="BU910" s="55"/>
      <c r="BV910" s="55"/>
      <c r="BW910" s="55"/>
      <c r="BX910" s="55"/>
      <c r="BY910" s="55"/>
    </row>
    <row r="911">
      <c r="I911" s="216"/>
      <c r="J911" s="216"/>
      <c r="K911" s="216"/>
      <c r="AX911" s="55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55"/>
      <c r="BT911" s="55"/>
      <c r="BU911" s="55"/>
      <c r="BV911" s="55"/>
      <c r="BW911" s="55"/>
      <c r="BX911" s="55"/>
      <c r="BY911" s="55"/>
    </row>
    <row r="912">
      <c r="I912" s="216"/>
      <c r="J912" s="216"/>
      <c r="K912" s="216"/>
      <c r="AX912" s="55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55"/>
      <c r="BT912" s="55"/>
      <c r="BU912" s="55"/>
      <c r="BV912" s="55"/>
      <c r="BW912" s="55"/>
      <c r="BX912" s="55"/>
      <c r="BY912" s="55"/>
    </row>
    <row r="913">
      <c r="I913" s="216"/>
      <c r="J913" s="216"/>
      <c r="K913" s="216"/>
      <c r="AX913" s="55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55"/>
      <c r="BT913" s="55"/>
      <c r="BU913" s="55"/>
      <c r="BV913" s="55"/>
      <c r="BW913" s="55"/>
      <c r="BX913" s="55"/>
      <c r="BY913" s="55"/>
    </row>
    <row r="914">
      <c r="I914" s="216"/>
      <c r="J914" s="216"/>
      <c r="K914" s="216"/>
      <c r="AX914" s="55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55"/>
      <c r="BT914" s="55"/>
      <c r="BU914" s="55"/>
      <c r="BV914" s="55"/>
      <c r="BW914" s="55"/>
      <c r="BX914" s="55"/>
      <c r="BY914" s="55"/>
    </row>
    <row r="915">
      <c r="I915" s="216"/>
      <c r="J915" s="216"/>
      <c r="K915" s="216"/>
      <c r="AX915" s="55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55"/>
      <c r="BT915" s="55"/>
      <c r="BU915" s="55"/>
      <c r="BV915" s="55"/>
      <c r="BW915" s="55"/>
      <c r="BX915" s="55"/>
      <c r="BY915" s="55"/>
    </row>
    <row r="916">
      <c r="I916" s="216"/>
      <c r="J916" s="216"/>
      <c r="K916" s="216"/>
      <c r="AX916" s="55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55"/>
      <c r="BT916" s="55"/>
      <c r="BU916" s="55"/>
      <c r="BV916" s="55"/>
      <c r="BW916" s="55"/>
      <c r="BX916" s="55"/>
      <c r="BY916" s="55"/>
    </row>
    <row r="917">
      <c r="I917" s="216"/>
      <c r="J917" s="216"/>
      <c r="K917" s="216"/>
      <c r="AX917" s="55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55"/>
      <c r="BT917" s="55"/>
      <c r="BU917" s="55"/>
      <c r="BV917" s="55"/>
      <c r="BW917" s="55"/>
      <c r="BX917" s="55"/>
      <c r="BY917" s="55"/>
    </row>
    <row r="918">
      <c r="I918" s="216"/>
      <c r="J918" s="216"/>
      <c r="K918" s="216"/>
      <c r="AX918" s="55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55"/>
      <c r="BT918" s="55"/>
      <c r="BU918" s="55"/>
      <c r="BV918" s="55"/>
      <c r="BW918" s="55"/>
      <c r="BX918" s="55"/>
      <c r="BY918" s="55"/>
    </row>
    <row r="919">
      <c r="I919" s="216"/>
      <c r="J919" s="216"/>
      <c r="K919" s="216"/>
      <c r="AX919" s="55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55"/>
      <c r="BT919" s="55"/>
      <c r="BU919" s="55"/>
      <c r="BV919" s="55"/>
      <c r="BW919" s="55"/>
      <c r="BX919" s="55"/>
      <c r="BY919" s="55"/>
    </row>
    <row r="920">
      <c r="I920" s="216"/>
      <c r="J920" s="216"/>
      <c r="K920" s="216"/>
      <c r="AX920" s="55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55"/>
      <c r="BT920" s="55"/>
      <c r="BU920" s="55"/>
      <c r="BV920" s="55"/>
      <c r="BW920" s="55"/>
      <c r="BX920" s="55"/>
      <c r="BY920" s="55"/>
    </row>
    <row r="921">
      <c r="I921" s="216"/>
      <c r="J921" s="216"/>
      <c r="K921" s="216"/>
      <c r="AX921" s="55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55"/>
      <c r="BT921" s="55"/>
      <c r="BU921" s="55"/>
      <c r="BV921" s="55"/>
      <c r="BW921" s="55"/>
      <c r="BX921" s="55"/>
      <c r="BY921" s="55"/>
    </row>
    <row r="922">
      <c r="I922" s="216"/>
      <c r="J922" s="216"/>
      <c r="K922" s="216"/>
      <c r="AX922" s="55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55"/>
      <c r="BT922" s="55"/>
      <c r="BU922" s="55"/>
      <c r="BV922" s="55"/>
      <c r="BW922" s="55"/>
      <c r="BX922" s="55"/>
      <c r="BY922" s="55"/>
    </row>
    <row r="923">
      <c r="I923" s="216"/>
      <c r="J923" s="216"/>
      <c r="K923" s="216"/>
      <c r="AX923" s="55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55"/>
      <c r="BT923" s="55"/>
      <c r="BU923" s="55"/>
      <c r="BV923" s="55"/>
      <c r="BW923" s="55"/>
      <c r="BX923" s="55"/>
      <c r="BY923" s="55"/>
    </row>
    <row r="924">
      <c r="I924" s="216"/>
      <c r="J924" s="216"/>
      <c r="K924" s="216"/>
      <c r="AX924" s="55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55"/>
      <c r="BT924" s="55"/>
      <c r="BU924" s="55"/>
      <c r="BV924" s="55"/>
      <c r="BW924" s="55"/>
      <c r="BX924" s="55"/>
      <c r="BY924" s="55"/>
    </row>
    <row r="925">
      <c r="I925" s="216"/>
      <c r="J925" s="216"/>
      <c r="K925" s="216"/>
      <c r="AX925" s="55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55"/>
      <c r="BT925" s="55"/>
      <c r="BU925" s="55"/>
      <c r="BV925" s="55"/>
      <c r="BW925" s="55"/>
      <c r="BX925" s="55"/>
      <c r="BY925" s="55"/>
    </row>
    <row r="926">
      <c r="I926" s="216"/>
      <c r="J926" s="216"/>
      <c r="K926" s="216"/>
      <c r="AX926" s="55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55"/>
      <c r="BT926" s="55"/>
      <c r="BU926" s="55"/>
      <c r="BV926" s="55"/>
      <c r="BW926" s="55"/>
      <c r="BX926" s="55"/>
      <c r="BY926" s="55"/>
    </row>
    <row r="927">
      <c r="I927" s="216"/>
      <c r="J927" s="216"/>
      <c r="K927" s="216"/>
      <c r="AX927" s="55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55"/>
      <c r="BT927" s="55"/>
      <c r="BU927" s="55"/>
      <c r="BV927" s="55"/>
      <c r="BW927" s="55"/>
      <c r="BX927" s="55"/>
      <c r="BY927" s="55"/>
    </row>
    <row r="928">
      <c r="I928" s="216"/>
      <c r="J928" s="216"/>
      <c r="K928" s="216"/>
      <c r="AX928" s="55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55"/>
      <c r="BT928" s="55"/>
      <c r="BU928" s="55"/>
      <c r="BV928" s="55"/>
      <c r="BW928" s="55"/>
      <c r="BX928" s="55"/>
      <c r="BY928" s="55"/>
    </row>
    <row r="929">
      <c r="I929" s="216"/>
      <c r="J929" s="216"/>
      <c r="K929" s="216"/>
      <c r="AX929" s="55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55"/>
      <c r="BT929" s="55"/>
      <c r="BU929" s="55"/>
      <c r="BV929" s="55"/>
      <c r="BW929" s="55"/>
      <c r="BX929" s="55"/>
      <c r="BY929" s="55"/>
    </row>
    <row r="930">
      <c r="I930" s="216"/>
      <c r="J930" s="216"/>
      <c r="K930" s="216"/>
      <c r="AX930" s="55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55"/>
      <c r="BT930" s="55"/>
      <c r="BU930" s="55"/>
      <c r="BV930" s="55"/>
      <c r="BW930" s="55"/>
      <c r="BX930" s="55"/>
      <c r="BY930" s="55"/>
    </row>
    <row r="931">
      <c r="I931" s="216"/>
      <c r="J931" s="216"/>
      <c r="K931" s="216"/>
      <c r="AX931" s="55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55"/>
      <c r="BT931" s="55"/>
      <c r="BU931" s="55"/>
      <c r="BV931" s="55"/>
      <c r="BW931" s="55"/>
      <c r="BX931" s="55"/>
      <c r="BY931" s="55"/>
    </row>
    <row r="932">
      <c r="I932" s="216"/>
      <c r="J932" s="216"/>
      <c r="K932" s="216"/>
      <c r="AX932" s="55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55"/>
      <c r="BT932" s="55"/>
      <c r="BU932" s="55"/>
      <c r="BV932" s="55"/>
      <c r="BW932" s="55"/>
      <c r="BX932" s="55"/>
      <c r="BY932" s="55"/>
    </row>
    <row r="933">
      <c r="I933" s="216"/>
      <c r="J933" s="216"/>
      <c r="K933" s="216"/>
      <c r="AX933" s="55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55"/>
      <c r="BT933" s="55"/>
      <c r="BU933" s="55"/>
      <c r="BV933" s="55"/>
      <c r="BW933" s="55"/>
      <c r="BX933" s="55"/>
      <c r="BY933" s="55"/>
    </row>
    <row r="934">
      <c r="I934" s="216"/>
      <c r="J934" s="216"/>
      <c r="K934" s="216"/>
      <c r="AX934" s="55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55"/>
      <c r="BT934" s="55"/>
      <c r="BU934" s="55"/>
      <c r="BV934" s="55"/>
      <c r="BW934" s="55"/>
      <c r="BX934" s="55"/>
      <c r="BY934" s="55"/>
    </row>
    <row r="935">
      <c r="I935" s="216"/>
      <c r="J935" s="216"/>
      <c r="K935" s="216"/>
      <c r="AX935" s="55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55"/>
      <c r="BT935" s="55"/>
      <c r="BU935" s="55"/>
      <c r="BV935" s="55"/>
      <c r="BW935" s="55"/>
      <c r="BX935" s="55"/>
      <c r="BY935" s="55"/>
    </row>
    <row r="936">
      <c r="I936" s="216"/>
      <c r="J936" s="216"/>
      <c r="K936" s="216"/>
      <c r="AX936" s="55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55"/>
      <c r="BT936" s="55"/>
      <c r="BU936" s="55"/>
      <c r="BV936" s="55"/>
      <c r="BW936" s="55"/>
      <c r="BX936" s="55"/>
      <c r="BY936" s="55"/>
    </row>
    <row r="937">
      <c r="I937" s="216"/>
      <c r="J937" s="216"/>
      <c r="K937" s="216"/>
      <c r="AX937" s="55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55"/>
      <c r="BT937" s="55"/>
      <c r="BU937" s="55"/>
      <c r="BV937" s="55"/>
      <c r="BW937" s="55"/>
      <c r="BX937" s="55"/>
      <c r="BY937" s="55"/>
    </row>
    <row r="938">
      <c r="I938" s="216"/>
      <c r="J938" s="216"/>
      <c r="K938" s="216"/>
      <c r="AX938" s="55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55"/>
      <c r="BT938" s="55"/>
      <c r="BU938" s="55"/>
      <c r="BV938" s="55"/>
      <c r="BW938" s="55"/>
      <c r="BX938" s="55"/>
      <c r="BY938" s="55"/>
    </row>
    <row r="939">
      <c r="I939" s="216"/>
      <c r="J939" s="216"/>
      <c r="K939" s="216"/>
      <c r="AX939" s="55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55"/>
      <c r="BT939" s="55"/>
      <c r="BU939" s="55"/>
      <c r="BV939" s="55"/>
      <c r="BW939" s="55"/>
      <c r="BX939" s="55"/>
      <c r="BY939" s="55"/>
    </row>
    <row r="940">
      <c r="I940" s="216"/>
      <c r="J940" s="216"/>
      <c r="K940" s="216"/>
      <c r="AX940" s="55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55"/>
      <c r="BT940" s="55"/>
      <c r="BU940" s="55"/>
      <c r="BV940" s="55"/>
      <c r="BW940" s="55"/>
      <c r="BX940" s="55"/>
      <c r="BY940" s="55"/>
    </row>
    <row r="941">
      <c r="I941" s="216"/>
      <c r="J941" s="216"/>
      <c r="K941" s="216"/>
      <c r="AX941" s="55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55"/>
      <c r="BT941" s="55"/>
      <c r="BU941" s="55"/>
      <c r="BV941" s="55"/>
      <c r="BW941" s="55"/>
      <c r="BX941" s="55"/>
      <c r="BY941" s="55"/>
    </row>
    <row r="942">
      <c r="I942" s="216"/>
      <c r="J942" s="216"/>
      <c r="K942" s="216"/>
      <c r="AX942" s="55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55"/>
      <c r="BT942" s="55"/>
      <c r="BU942" s="55"/>
      <c r="BV942" s="55"/>
      <c r="BW942" s="55"/>
      <c r="BX942" s="55"/>
      <c r="BY942" s="55"/>
    </row>
    <row r="943">
      <c r="I943" s="216"/>
      <c r="J943" s="216"/>
      <c r="K943" s="216"/>
      <c r="AX943" s="55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55"/>
      <c r="BT943" s="55"/>
      <c r="BU943" s="55"/>
      <c r="BV943" s="55"/>
      <c r="BW943" s="55"/>
      <c r="BX943" s="55"/>
      <c r="BY943" s="55"/>
    </row>
    <row r="944">
      <c r="I944" s="216"/>
      <c r="J944" s="216"/>
      <c r="K944" s="216"/>
      <c r="AX944" s="55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55"/>
      <c r="BT944" s="55"/>
      <c r="BU944" s="55"/>
      <c r="BV944" s="55"/>
      <c r="BW944" s="55"/>
      <c r="BX944" s="55"/>
      <c r="BY944" s="55"/>
    </row>
    <row r="945">
      <c r="I945" s="216"/>
      <c r="J945" s="216"/>
      <c r="K945" s="216"/>
      <c r="AX945" s="55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55"/>
      <c r="BT945" s="55"/>
      <c r="BU945" s="55"/>
      <c r="BV945" s="55"/>
      <c r="BW945" s="55"/>
      <c r="BX945" s="55"/>
      <c r="BY945" s="55"/>
    </row>
    <row r="946">
      <c r="I946" s="216"/>
      <c r="J946" s="216"/>
      <c r="K946" s="216"/>
      <c r="AX946" s="55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55"/>
      <c r="BT946" s="55"/>
      <c r="BU946" s="55"/>
      <c r="BV946" s="55"/>
      <c r="BW946" s="55"/>
      <c r="BX946" s="55"/>
      <c r="BY946" s="55"/>
    </row>
    <row r="947">
      <c r="I947" s="216"/>
      <c r="J947" s="216"/>
      <c r="K947" s="216"/>
      <c r="AX947" s="55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55"/>
      <c r="BT947" s="55"/>
      <c r="BU947" s="55"/>
      <c r="BV947" s="55"/>
      <c r="BW947" s="55"/>
      <c r="BX947" s="55"/>
      <c r="BY947" s="55"/>
    </row>
    <row r="948">
      <c r="I948" s="216"/>
      <c r="J948" s="216"/>
      <c r="K948" s="216"/>
      <c r="AX948" s="55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55"/>
      <c r="BT948" s="55"/>
      <c r="BU948" s="55"/>
      <c r="BV948" s="55"/>
      <c r="BW948" s="55"/>
      <c r="BX948" s="55"/>
      <c r="BY948" s="55"/>
    </row>
    <row r="949">
      <c r="I949" s="216"/>
      <c r="J949" s="216"/>
      <c r="K949" s="216"/>
      <c r="AX949" s="55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55"/>
      <c r="BT949" s="55"/>
      <c r="BU949" s="55"/>
      <c r="BV949" s="55"/>
      <c r="BW949" s="55"/>
      <c r="BX949" s="55"/>
      <c r="BY949" s="55"/>
    </row>
    <row r="950">
      <c r="I950" s="216"/>
      <c r="J950" s="216"/>
      <c r="K950" s="216"/>
      <c r="AX950" s="55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55"/>
      <c r="BT950" s="55"/>
      <c r="BU950" s="55"/>
      <c r="BV950" s="55"/>
      <c r="BW950" s="55"/>
      <c r="BX950" s="55"/>
      <c r="BY950" s="55"/>
    </row>
    <row r="951">
      <c r="I951" s="216"/>
      <c r="J951" s="216"/>
      <c r="K951" s="216"/>
      <c r="AX951" s="55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55"/>
      <c r="BT951" s="55"/>
      <c r="BU951" s="55"/>
      <c r="BV951" s="55"/>
      <c r="BW951" s="55"/>
      <c r="BX951" s="55"/>
      <c r="BY951" s="55"/>
    </row>
    <row r="952">
      <c r="I952" s="216"/>
      <c r="J952" s="216"/>
      <c r="K952" s="216"/>
      <c r="AX952" s="55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55"/>
      <c r="BT952" s="55"/>
      <c r="BU952" s="55"/>
      <c r="BV952" s="55"/>
      <c r="BW952" s="55"/>
      <c r="BX952" s="55"/>
      <c r="BY952" s="55"/>
    </row>
    <row r="953">
      <c r="I953" s="216"/>
      <c r="J953" s="216"/>
      <c r="K953" s="216"/>
      <c r="AX953" s="55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55"/>
      <c r="BT953" s="55"/>
      <c r="BU953" s="55"/>
      <c r="BV953" s="55"/>
      <c r="BW953" s="55"/>
      <c r="BX953" s="55"/>
      <c r="BY953" s="55"/>
    </row>
    <row r="954">
      <c r="I954" s="216"/>
      <c r="J954" s="216"/>
      <c r="K954" s="216"/>
      <c r="AX954" s="55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55"/>
      <c r="BT954" s="55"/>
      <c r="BU954" s="55"/>
      <c r="BV954" s="55"/>
      <c r="BW954" s="55"/>
      <c r="BX954" s="55"/>
      <c r="BY954" s="55"/>
    </row>
    <row r="955">
      <c r="I955" s="216"/>
      <c r="J955" s="216"/>
      <c r="K955" s="216"/>
      <c r="AX955" s="55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55"/>
      <c r="BT955" s="55"/>
      <c r="BU955" s="55"/>
      <c r="BV955" s="55"/>
      <c r="BW955" s="55"/>
      <c r="BX955" s="55"/>
      <c r="BY955" s="55"/>
    </row>
    <row r="956">
      <c r="I956" s="216"/>
      <c r="J956" s="216"/>
      <c r="K956" s="216"/>
      <c r="AX956" s="55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55"/>
      <c r="BT956" s="55"/>
      <c r="BU956" s="55"/>
      <c r="BV956" s="55"/>
      <c r="BW956" s="55"/>
      <c r="BX956" s="55"/>
      <c r="BY956" s="55"/>
    </row>
    <row r="957">
      <c r="I957" s="216"/>
      <c r="J957" s="216"/>
      <c r="K957" s="216"/>
      <c r="AX957" s="55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55"/>
      <c r="BT957" s="55"/>
      <c r="BU957" s="55"/>
      <c r="BV957" s="55"/>
      <c r="BW957" s="55"/>
      <c r="BX957" s="55"/>
      <c r="BY957" s="55"/>
    </row>
    <row r="958">
      <c r="I958" s="216"/>
      <c r="J958" s="216"/>
      <c r="K958" s="216"/>
      <c r="AX958" s="55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55"/>
      <c r="BT958" s="55"/>
      <c r="BU958" s="55"/>
      <c r="BV958" s="55"/>
      <c r="BW958" s="55"/>
      <c r="BX958" s="55"/>
      <c r="BY958" s="55"/>
    </row>
    <row r="959">
      <c r="I959" s="216"/>
      <c r="J959" s="216"/>
      <c r="K959" s="216"/>
      <c r="AX959" s="55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55"/>
      <c r="BT959" s="55"/>
      <c r="BU959" s="55"/>
      <c r="BV959" s="55"/>
      <c r="BW959" s="55"/>
      <c r="BX959" s="55"/>
      <c r="BY959" s="55"/>
    </row>
    <row r="960">
      <c r="I960" s="216"/>
      <c r="J960" s="216"/>
      <c r="K960" s="216"/>
      <c r="AX960" s="55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55"/>
      <c r="BT960" s="55"/>
      <c r="BU960" s="55"/>
      <c r="BV960" s="55"/>
      <c r="BW960" s="55"/>
      <c r="BX960" s="55"/>
      <c r="BY960" s="55"/>
    </row>
    <row r="961">
      <c r="I961" s="216"/>
      <c r="J961" s="216"/>
      <c r="K961" s="216"/>
      <c r="AX961" s="55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55"/>
      <c r="BT961" s="55"/>
      <c r="BU961" s="55"/>
      <c r="BV961" s="55"/>
      <c r="BW961" s="55"/>
      <c r="BX961" s="55"/>
      <c r="BY961" s="55"/>
    </row>
    <row r="962">
      <c r="I962" s="216"/>
      <c r="J962" s="216"/>
      <c r="K962" s="216"/>
      <c r="AX962" s="55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55"/>
      <c r="BT962" s="55"/>
      <c r="BU962" s="55"/>
      <c r="BV962" s="55"/>
      <c r="BW962" s="55"/>
      <c r="BX962" s="55"/>
      <c r="BY962" s="55"/>
    </row>
    <row r="963">
      <c r="I963" s="216"/>
      <c r="J963" s="216"/>
      <c r="K963" s="216"/>
      <c r="AX963" s="55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55"/>
      <c r="BT963" s="55"/>
      <c r="BU963" s="55"/>
      <c r="BV963" s="55"/>
      <c r="BW963" s="55"/>
      <c r="BX963" s="55"/>
      <c r="BY963" s="55"/>
    </row>
    <row r="964">
      <c r="I964" s="216"/>
      <c r="J964" s="216"/>
      <c r="K964" s="216"/>
      <c r="AX964" s="55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55"/>
      <c r="BT964" s="55"/>
      <c r="BU964" s="55"/>
      <c r="BV964" s="55"/>
      <c r="BW964" s="55"/>
      <c r="BX964" s="55"/>
      <c r="BY964" s="55"/>
    </row>
    <row r="965">
      <c r="I965" s="216"/>
      <c r="J965" s="216"/>
      <c r="K965" s="216"/>
      <c r="AX965" s="55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55"/>
      <c r="BT965" s="55"/>
      <c r="BU965" s="55"/>
      <c r="BV965" s="55"/>
      <c r="BW965" s="55"/>
      <c r="BX965" s="55"/>
      <c r="BY965" s="55"/>
    </row>
    <row r="966">
      <c r="I966" s="216"/>
      <c r="J966" s="216"/>
      <c r="K966" s="216"/>
      <c r="AX966" s="55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55"/>
      <c r="BT966" s="55"/>
      <c r="BU966" s="55"/>
      <c r="BV966" s="55"/>
      <c r="BW966" s="55"/>
      <c r="BX966" s="55"/>
      <c r="BY966" s="55"/>
    </row>
    <row r="967">
      <c r="I967" s="216"/>
      <c r="J967" s="216"/>
      <c r="K967" s="216"/>
      <c r="AX967" s="55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55"/>
      <c r="BT967" s="55"/>
      <c r="BU967" s="55"/>
      <c r="BV967" s="55"/>
      <c r="BW967" s="55"/>
      <c r="BX967" s="55"/>
      <c r="BY967" s="55"/>
    </row>
    <row r="968">
      <c r="I968" s="216"/>
      <c r="J968" s="216"/>
      <c r="K968" s="216"/>
      <c r="AX968" s="55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55"/>
      <c r="BT968" s="55"/>
      <c r="BU968" s="55"/>
      <c r="BV968" s="55"/>
      <c r="BW968" s="55"/>
      <c r="BX968" s="55"/>
      <c r="BY968" s="55"/>
    </row>
    <row r="969">
      <c r="I969" s="216"/>
      <c r="J969" s="216"/>
      <c r="K969" s="216"/>
      <c r="AX969" s="55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55"/>
      <c r="BT969" s="55"/>
      <c r="BU969" s="55"/>
      <c r="BV969" s="55"/>
      <c r="BW969" s="55"/>
      <c r="BX969" s="55"/>
      <c r="BY969" s="55"/>
    </row>
    <row r="970">
      <c r="I970" s="216"/>
      <c r="J970" s="216"/>
      <c r="K970" s="216"/>
      <c r="AX970" s="55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55"/>
      <c r="BT970" s="55"/>
      <c r="BU970" s="55"/>
      <c r="BV970" s="55"/>
      <c r="BW970" s="55"/>
      <c r="BX970" s="55"/>
      <c r="BY970" s="55"/>
    </row>
    <row r="971">
      <c r="I971" s="216"/>
      <c r="J971" s="216"/>
      <c r="K971" s="216"/>
      <c r="AX971" s="55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55"/>
      <c r="BT971" s="55"/>
      <c r="BU971" s="55"/>
      <c r="BV971" s="55"/>
      <c r="BW971" s="55"/>
      <c r="BX971" s="55"/>
      <c r="BY971" s="55"/>
    </row>
    <row r="972">
      <c r="I972" s="216"/>
      <c r="J972" s="216"/>
      <c r="K972" s="216"/>
      <c r="AX972" s="55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55"/>
      <c r="BT972" s="55"/>
      <c r="BU972" s="55"/>
      <c r="BV972" s="55"/>
      <c r="BW972" s="55"/>
      <c r="BX972" s="55"/>
      <c r="BY972" s="55"/>
    </row>
    <row r="973">
      <c r="I973" s="216"/>
      <c r="J973" s="216"/>
      <c r="K973" s="216"/>
      <c r="AX973" s="55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55"/>
      <c r="BT973" s="55"/>
      <c r="BU973" s="55"/>
      <c r="BV973" s="55"/>
      <c r="BW973" s="55"/>
      <c r="BX973" s="55"/>
      <c r="BY973" s="55"/>
    </row>
    <row r="974">
      <c r="I974" s="216"/>
      <c r="J974" s="216"/>
      <c r="K974" s="216"/>
      <c r="AX974" s="55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55"/>
      <c r="BT974" s="55"/>
      <c r="BU974" s="55"/>
      <c r="BV974" s="55"/>
      <c r="BW974" s="55"/>
      <c r="BX974" s="55"/>
      <c r="BY974" s="55"/>
    </row>
    <row r="975">
      <c r="I975" s="216"/>
      <c r="J975" s="216"/>
      <c r="K975" s="216"/>
      <c r="AX975" s="55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55"/>
      <c r="BT975" s="55"/>
      <c r="BU975" s="55"/>
      <c r="BV975" s="55"/>
      <c r="BW975" s="55"/>
      <c r="BX975" s="55"/>
      <c r="BY975" s="55"/>
    </row>
    <row r="976">
      <c r="I976" s="216"/>
      <c r="J976" s="216"/>
      <c r="K976" s="216"/>
      <c r="AX976" s="55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55"/>
      <c r="BT976" s="55"/>
      <c r="BU976" s="55"/>
      <c r="BV976" s="55"/>
      <c r="BW976" s="55"/>
      <c r="BX976" s="55"/>
      <c r="BY976" s="55"/>
    </row>
    <row r="977">
      <c r="I977" s="216"/>
      <c r="J977" s="216"/>
      <c r="K977" s="216"/>
      <c r="AX977" s="55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55"/>
      <c r="BT977" s="55"/>
      <c r="BU977" s="55"/>
      <c r="BV977" s="55"/>
      <c r="BW977" s="55"/>
      <c r="BX977" s="55"/>
      <c r="BY977" s="55"/>
    </row>
    <row r="978">
      <c r="I978" s="216"/>
      <c r="J978" s="216"/>
      <c r="K978" s="216"/>
      <c r="AX978" s="55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55"/>
      <c r="BT978" s="55"/>
      <c r="BU978" s="55"/>
      <c r="BV978" s="55"/>
      <c r="BW978" s="55"/>
      <c r="BX978" s="55"/>
      <c r="BY978" s="55"/>
    </row>
    <row r="979">
      <c r="I979" s="216"/>
      <c r="J979" s="216"/>
      <c r="K979" s="216"/>
      <c r="AX979" s="55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55"/>
      <c r="BT979" s="55"/>
      <c r="BU979" s="55"/>
      <c r="BV979" s="55"/>
      <c r="BW979" s="55"/>
      <c r="BX979" s="55"/>
      <c r="BY979" s="55"/>
    </row>
    <row r="980">
      <c r="I980" s="216"/>
      <c r="J980" s="216"/>
      <c r="K980" s="216"/>
      <c r="AX980" s="55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55"/>
      <c r="BT980" s="55"/>
      <c r="BU980" s="55"/>
      <c r="BV980" s="55"/>
      <c r="BW980" s="55"/>
      <c r="BX980" s="55"/>
      <c r="BY980" s="55"/>
    </row>
    <row r="981">
      <c r="I981" s="216"/>
      <c r="J981" s="216"/>
      <c r="K981" s="216"/>
      <c r="AX981" s="55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55"/>
      <c r="BT981" s="55"/>
      <c r="BU981" s="55"/>
      <c r="BV981" s="55"/>
      <c r="BW981" s="55"/>
      <c r="BX981" s="55"/>
      <c r="BY981" s="55"/>
    </row>
    <row r="982">
      <c r="I982" s="216"/>
      <c r="J982" s="216"/>
      <c r="K982" s="216"/>
      <c r="AX982" s="55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55"/>
      <c r="BT982" s="55"/>
      <c r="BU982" s="55"/>
      <c r="BV982" s="55"/>
      <c r="BW982" s="55"/>
      <c r="BX982" s="55"/>
      <c r="BY982" s="55"/>
    </row>
    <row r="983">
      <c r="I983" s="216"/>
      <c r="J983" s="216"/>
      <c r="K983" s="216"/>
      <c r="AX983" s="55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55"/>
      <c r="BT983" s="55"/>
      <c r="BU983" s="55"/>
      <c r="BV983" s="55"/>
      <c r="BW983" s="55"/>
      <c r="BX983" s="55"/>
      <c r="BY983" s="55"/>
    </row>
    <row r="984">
      <c r="I984" s="216"/>
      <c r="J984" s="216"/>
      <c r="K984" s="216"/>
      <c r="AX984" s="55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55"/>
      <c r="BT984" s="55"/>
      <c r="BU984" s="55"/>
      <c r="BV984" s="55"/>
      <c r="BW984" s="55"/>
      <c r="BX984" s="55"/>
      <c r="BY984" s="55"/>
    </row>
    <row r="985">
      <c r="I985" s="216"/>
      <c r="J985" s="216"/>
      <c r="K985" s="216"/>
      <c r="AX985" s="55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55"/>
      <c r="BT985" s="55"/>
      <c r="BU985" s="55"/>
      <c r="BV985" s="55"/>
      <c r="BW985" s="55"/>
      <c r="BX985" s="55"/>
      <c r="BY985" s="55"/>
    </row>
    <row r="986">
      <c r="I986" s="216"/>
      <c r="J986" s="216"/>
      <c r="K986" s="216"/>
      <c r="AX986" s="55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55"/>
      <c r="BT986" s="55"/>
      <c r="BU986" s="55"/>
      <c r="BV986" s="55"/>
      <c r="BW986" s="55"/>
      <c r="BX986" s="55"/>
      <c r="BY986" s="55"/>
    </row>
    <row r="987">
      <c r="I987" s="216"/>
      <c r="J987" s="216"/>
      <c r="K987" s="216"/>
      <c r="AX987" s="55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55"/>
      <c r="BT987" s="55"/>
      <c r="BU987" s="55"/>
      <c r="BV987" s="55"/>
      <c r="BW987" s="55"/>
      <c r="BX987" s="55"/>
      <c r="BY987" s="55"/>
    </row>
    <row r="988">
      <c r="I988" s="216"/>
      <c r="J988" s="216"/>
      <c r="K988" s="216"/>
      <c r="AX988" s="55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55"/>
      <c r="BT988" s="55"/>
      <c r="BU988" s="55"/>
      <c r="BV988" s="55"/>
      <c r="BW988" s="55"/>
      <c r="BX988" s="55"/>
      <c r="BY988" s="55"/>
    </row>
    <row r="989">
      <c r="I989" s="216"/>
      <c r="J989" s="216"/>
      <c r="K989" s="216"/>
      <c r="AX989" s="55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55"/>
      <c r="BT989" s="55"/>
      <c r="BU989" s="55"/>
      <c r="BV989" s="55"/>
      <c r="BW989" s="55"/>
      <c r="BX989" s="55"/>
      <c r="BY989" s="55"/>
    </row>
    <row r="990">
      <c r="I990" s="216"/>
      <c r="J990" s="216"/>
      <c r="K990" s="216"/>
      <c r="AX990" s="55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55"/>
      <c r="BT990" s="55"/>
      <c r="BU990" s="55"/>
      <c r="BV990" s="55"/>
      <c r="BW990" s="55"/>
      <c r="BX990" s="55"/>
      <c r="BY990" s="55"/>
    </row>
    <row r="991">
      <c r="I991" s="216"/>
      <c r="J991" s="216"/>
      <c r="K991" s="216"/>
      <c r="AX991" s="55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55"/>
      <c r="BT991" s="55"/>
      <c r="BU991" s="55"/>
      <c r="BV991" s="55"/>
      <c r="BW991" s="55"/>
      <c r="BX991" s="55"/>
      <c r="BY991" s="55"/>
    </row>
    <row r="992">
      <c r="I992" s="216"/>
      <c r="J992" s="216"/>
      <c r="K992" s="216"/>
      <c r="AX992" s="55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55"/>
      <c r="BT992" s="55"/>
      <c r="BU992" s="55"/>
      <c r="BV992" s="55"/>
      <c r="BW992" s="55"/>
      <c r="BX992" s="55"/>
      <c r="BY992" s="55"/>
    </row>
    <row r="993">
      <c r="I993" s="216"/>
      <c r="J993" s="216"/>
      <c r="K993" s="216"/>
      <c r="AX993" s="55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55"/>
      <c r="BT993" s="55"/>
      <c r="BU993" s="55"/>
      <c r="BV993" s="55"/>
      <c r="BW993" s="55"/>
      <c r="BX993" s="55"/>
      <c r="BY993" s="55"/>
    </row>
    <row r="994">
      <c r="I994" s="216"/>
      <c r="J994" s="216"/>
      <c r="K994" s="216"/>
      <c r="AX994" s="55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55"/>
      <c r="BT994" s="55"/>
      <c r="BU994" s="55"/>
      <c r="BV994" s="55"/>
      <c r="BW994" s="55"/>
      <c r="BX994" s="55"/>
      <c r="BY994" s="55"/>
    </row>
    <row r="995">
      <c r="I995" s="216"/>
      <c r="J995" s="216"/>
      <c r="K995" s="216"/>
      <c r="AX995" s="55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55"/>
      <c r="BT995" s="55"/>
      <c r="BU995" s="55"/>
      <c r="BV995" s="55"/>
      <c r="BW995" s="55"/>
      <c r="BX995" s="55"/>
      <c r="BY995" s="55"/>
    </row>
    <row r="996">
      <c r="I996" s="216"/>
      <c r="J996" s="216"/>
      <c r="K996" s="216"/>
      <c r="AX996" s="55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55"/>
      <c r="BT996" s="55"/>
      <c r="BU996" s="55"/>
      <c r="BV996" s="55"/>
      <c r="BW996" s="55"/>
      <c r="BX996" s="55"/>
      <c r="BY996" s="55"/>
    </row>
    <row r="997">
      <c r="I997" s="216"/>
      <c r="J997" s="216"/>
      <c r="K997" s="216"/>
      <c r="AX997" s="55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55"/>
      <c r="BT997" s="55"/>
      <c r="BU997" s="55"/>
      <c r="BV997" s="55"/>
      <c r="BW997" s="55"/>
      <c r="BX997" s="55"/>
      <c r="BY997" s="55"/>
    </row>
    <row r="998">
      <c r="I998" s="216"/>
      <c r="J998" s="216"/>
      <c r="K998" s="216"/>
      <c r="AX998" s="55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55"/>
      <c r="BT998" s="55"/>
      <c r="BU998" s="55"/>
      <c r="BV998" s="55"/>
      <c r="BW998" s="55"/>
      <c r="BX998" s="55"/>
      <c r="BY998" s="55"/>
    </row>
    <row r="999">
      <c r="I999" s="216"/>
      <c r="J999" s="216"/>
      <c r="K999" s="216"/>
      <c r="AX999" s="55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55"/>
      <c r="BT999" s="55"/>
      <c r="BU999" s="55"/>
      <c r="BV999" s="55"/>
      <c r="BW999" s="55"/>
      <c r="BX999" s="55"/>
      <c r="BY999" s="55"/>
    </row>
    <row r="1000">
      <c r="I1000" s="216"/>
      <c r="J1000" s="216"/>
      <c r="K1000" s="216"/>
      <c r="AX1000" s="55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55"/>
      <c r="BT1000" s="55"/>
      <c r="BU1000" s="55"/>
      <c r="BV1000" s="55"/>
      <c r="BW1000" s="55"/>
      <c r="BX1000" s="55"/>
      <c r="BY1000" s="55"/>
    </row>
  </sheetData>
  <mergeCells count="12">
    <mergeCell ref="AJ2:AM2"/>
    <mergeCell ref="AN2:AQ2"/>
    <mergeCell ref="AR2:AU2"/>
    <mergeCell ref="AV2:AV3"/>
    <mergeCell ref="AW2:AW3"/>
    <mergeCell ref="B2:K2"/>
    <mergeCell ref="L2:O2"/>
    <mergeCell ref="P2:S2"/>
    <mergeCell ref="T2:W2"/>
    <mergeCell ref="X2:AA2"/>
    <mergeCell ref="AB2:AE2"/>
    <mergeCell ref="AF2:AI2"/>
  </mergeCells>
  <conditionalFormatting sqref="L4:AW63">
    <cfRule type="cellIs" dxfId="2" priority="1" operator="greaterThanOrEqual">
      <formula>1</formula>
    </cfRule>
  </conditionalFormatting>
  <conditionalFormatting sqref="L4:AW63">
    <cfRule type="cellIs" dxfId="3" priority="2" operator="equal">
      <formula>0</formula>
    </cfRule>
  </conditionalFormatting>
  <conditionalFormatting sqref="AN4:AQ63">
    <cfRule type="expression" dxfId="4" priority="3">
      <formula>$AQ$1&lt;TODAY()</formula>
    </cfRule>
  </conditionalFormatting>
  <conditionalFormatting sqref="P4:S63">
    <cfRule type="expression" dxfId="4" priority="4">
      <formula>$S$1&lt;TODAY()</formula>
    </cfRule>
  </conditionalFormatting>
  <conditionalFormatting sqref="T4:W63">
    <cfRule type="expression" dxfId="4" priority="5">
      <formula>$W$1&lt;TODAY()</formula>
    </cfRule>
  </conditionalFormatting>
  <conditionalFormatting sqref="AB4:AE63">
    <cfRule type="expression" dxfId="4" priority="6">
      <formula>$AE$1&lt;TODAY()</formula>
    </cfRule>
  </conditionalFormatting>
  <conditionalFormatting sqref="AF4:AI63">
    <cfRule type="expression" dxfId="4" priority="7">
      <formula>$AI$1&lt;TODAY()</formula>
    </cfRule>
  </conditionalFormatting>
  <conditionalFormatting sqref="AJ4:AM63">
    <cfRule type="expression" dxfId="4" priority="8">
      <formula>$AM$1&lt;TODAY()</formula>
    </cfRule>
  </conditionalFormatting>
  <conditionalFormatting sqref="AR4:AW63">
    <cfRule type="expression" dxfId="4" priority="9">
      <formula>$AU$1&lt;TODAY()</formula>
    </cfRule>
  </conditionalFormatting>
  <conditionalFormatting sqref="AV4:AW63">
    <cfRule type="expression" dxfId="4" priority="10">
      <formula>#REF!&lt;TODAY()</formula>
    </cfRule>
  </conditionalFormatting>
  <conditionalFormatting sqref="BI4:BR63">
    <cfRule type="containsText" dxfId="5" priority="11" operator="containsText" text="EXCELENTES">
      <formula>NOT(ISERROR(SEARCH(("EXCELENTES"),(BI4))))</formula>
    </cfRule>
  </conditionalFormatting>
  <conditionalFormatting sqref="BI4:BR63">
    <cfRule type="containsText" dxfId="6" priority="12" operator="containsText" text="BUENO">
      <formula>NOT(ISERROR(SEARCH(("BUENO"),(BI4))))</formula>
    </cfRule>
  </conditionalFormatting>
  <conditionalFormatting sqref="BI4:BR63">
    <cfRule type="containsText" dxfId="7" priority="13" operator="containsText" text="REGULARES">
      <formula>NOT(ISERROR(SEARCH(("REGULARES"),(BI4))))</formula>
    </cfRule>
  </conditionalFormatting>
  <conditionalFormatting sqref="BI4:BR63">
    <cfRule type="notContainsBlanks" dxfId="8" priority="14">
      <formula>LEN(TRIM(BI4))&gt;0</formula>
    </cfRule>
  </conditionalFormatting>
  <conditionalFormatting sqref="X4:AA63">
    <cfRule type="expression" dxfId="4" priority="15">
      <formula>$AA$1&lt;TODAY()</formula>
    </cfRule>
  </conditionalFormatting>
  <conditionalFormatting sqref="L4:O63">
    <cfRule type="expression" dxfId="4" priority="16">
      <formula>$O$1&lt;TODAY()</formula>
    </cfRule>
  </conditionalFormatting>
  <printOptions/>
  <pageMargins bottom="0.75" footer="0.0" header="0.0" left="0.7" right="0.7" top="0.75"/>
  <pageSetup orientation="landscape"/>
  <drawing r:id="rId1"/>
</worksheet>
</file>